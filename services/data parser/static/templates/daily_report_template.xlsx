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80" windowHeight="23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<sst xmlns="http://schemas.openxmlformats.org/spreadsheetml/2006/main" count="323" uniqueCount="178">
  <si>
    <t>2026年02月10日运营日报表</t>
  </si>
  <si>
    <t>内部数据 请勿外传</t>
  </si>
  <si>
    <t>一、发电情况整体概述</t>
  </si>
  <si>
    <t>新能源</t>
  </si>
  <si>
    <t>当日发电量</t>
  </si>
  <si>
    <t>万kWh</t>
  </si>
  <si>
    <t>集中式光伏</t>
  </si>
  <si>
    <t>风电</t>
  </si>
  <si>
    <t>储能</t>
  </si>
  <si>
    <t>当日储能充放电量（充/放）</t>
  </si>
  <si>
    <t>5.95/3.15</t>
  </si>
  <si>
    <t>当月发电量</t>
  </si>
  <si>
    <t>年度储能充电量</t>
  </si>
  <si>
    <t>年度发电量</t>
  </si>
  <si>
    <t>年度储能放电量</t>
  </si>
  <si>
    <t>当日综合厂用电量</t>
  </si>
  <si>
    <t>分布式光伏</t>
  </si>
  <si>
    <t>当日综合厂用电率</t>
  </si>
  <si>
    <t>%</t>
  </si>
  <si>
    <t>当月综合厂用电率</t>
  </si>
  <si>
    <t>年度综合厂用电率</t>
  </si>
  <si>
    <t>火电</t>
  </si>
  <si>
    <t>当日上网电量</t>
  </si>
  <si>
    <t>当月上网电量</t>
  </si>
  <si>
    <t>年度上网电量</t>
  </si>
  <si>
    <t>当日等效小时数</t>
  </si>
  <si>
    <t>小时</t>
  </si>
  <si>
    <t>当日购网电量</t>
  </si>
  <si>
    <t>当月等效小时数</t>
  </si>
  <si>
    <t>当月购网电量</t>
  </si>
  <si>
    <t>年度等效小时数</t>
  </si>
  <si>
    <t>年度购网电量</t>
  </si>
  <si>
    <t>当日弃光/风率</t>
  </si>
  <si>
    <t>当日弃光率</t>
  </si>
  <si>
    <t>当日弃风率</t>
  </si>
  <si>
    <t>当月弃光/风率</t>
  </si>
  <si>
    <t>当月弃光率</t>
  </si>
  <si>
    <t>当月弃风率</t>
  </si>
  <si>
    <t>年度弃光/风率</t>
  </si>
  <si>
    <t>年度弃光率</t>
  </si>
  <si>
    <t>年度弃风率</t>
  </si>
  <si>
    <t>新能源指标</t>
  </si>
  <si>
    <t>当月目标电量</t>
  </si>
  <si>
    <t>当月目标完成率</t>
  </si>
  <si>
    <t>年度目标电量</t>
  </si>
  <si>
    <t>年度目标完成率</t>
  </si>
  <si>
    <t>二、发电设备参数</t>
  </si>
  <si>
    <t>整体情况</t>
  </si>
  <si>
    <t>实际并网容量（火、风、光）</t>
  </si>
  <si>
    <t>MW</t>
  </si>
  <si>
    <t>实际并网容量</t>
  </si>
  <si>
    <t>实际发电容量（风、光）</t>
  </si>
  <si>
    <t>实际发电容量</t>
  </si>
  <si>
    <t>MWh</t>
  </si>
  <si>
    <t>场站可利用率（风、光）</t>
  </si>
  <si>
    <t>平均辐照量</t>
  </si>
  <si>
    <t>MJ/m²</t>
  </si>
  <si>
    <t>平均风速</t>
  </si>
  <si>
    <t>m/s</t>
  </si>
  <si>
    <t>分布式</t>
  </si>
  <si>
    <t>三、发电情况明细表</t>
  </si>
  <si>
    <t>公司/场站名称</t>
  </si>
  <si>
    <t>并网容量</t>
  </si>
  <si>
    <t>年累计等效小时
（h）</t>
  </si>
  <si>
    <t>设计年等效小时
（h）</t>
  </si>
  <si>
    <t>当日等效小时
（h）</t>
  </si>
  <si>
    <t>日发电量
(万kWh)</t>
  </si>
  <si>
    <t>限发电量
（万kWh）</t>
  </si>
  <si>
    <t>限电率（%）</t>
  </si>
  <si>
    <t>非计划损失电量
（万kWh）</t>
  </si>
  <si>
    <t>计划损失电量
（万kWh）</t>
  </si>
  <si>
    <t>弃光/风量
（万kWh）</t>
  </si>
  <si>
    <t>场站可利用率
（%）</t>
  </si>
  <si>
    <t>年度场站可利用率
（%）</t>
  </si>
  <si>
    <t>储能放电分摊
（万kWh）</t>
  </si>
  <si>
    <t>集中式合计：</t>
  </si>
  <si>
    <t>1174.31(光)
2059.39(风)</t>
  </si>
  <si>
    <t>分布式合计：</t>
  </si>
  <si>
    <t>火电合计：</t>
  </si>
  <si>
    <t>江州、绿电、凭祥公司</t>
  </si>
  <si>
    <t>488.73MW</t>
  </si>
  <si>
    <t>1160.64(光)</t>
  </si>
  <si>
    <t>派岸/江南光伏</t>
  </si>
  <si>
    <t>145MW/203MWp</t>
  </si>
  <si>
    <t>六留光伏</t>
  </si>
  <si>
    <t>65MW/90.56MWp</t>
  </si>
  <si>
    <t>强胜/渠母光伏</t>
  </si>
  <si>
    <t>100MW/140.36MWp</t>
  </si>
  <si>
    <t>弄滩/板崇光伏</t>
  </si>
  <si>
    <t>160MW/222.91MWp</t>
  </si>
  <si>
    <t>江州区整区分布式</t>
  </si>
  <si>
    <t>8.62MW/11.8MWp</t>
  </si>
  <si>
    <t>凭祥市整市分布式</t>
  </si>
  <si>
    <t>10.11MW/13.15MWp</t>
  </si>
  <si>
    <t>扶绥、天等公司</t>
  </si>
  <si>
    <t>424.07MW</t>
  </si>
  <si>
    <t>1153.5(光)
2030(风)</t>
  </si>
  <si>
    <t>守旗/中原光伏</t>
  </si>
  <si>
    <t>100MW/139.1MWp</t>
  </si>
  <si>
    <t>岑凡/南部光伏</t>
  </si>
  <si>
    <t>162.75MW/226.22MWp</t>
  </si>
  <si>
    <t>把荷风电</t>
  </si>
  <si>
    <t>100.1MW</t>
  </si>
  <si>
    <t>驮堪/牛舍光伏</t>
  </si>
  <si>
    <t>32.32MW/43.15MWp</t>
  </si>
  <si>
    <t>扶绥县整县分布式</t>
  </si>
  <si>
    <t>15.16MW/19.26MWp</t>
  </si>
  <si>
    <t>天等县整县分布式</t>
  </si>
  <si>
    <t>13.74MW/15.08MWp</t>
  </si>
  <si>
    <t>宁明公司</t>
  </si>
  <si>
    <t>505.71MW</t>
  </si>
  <si>
    <t>1174.23(光)
2195(风)</t>
  </si>
  <si>
    <t>那小光伏</t>
  </si>
  <si>
    <t>65MW/90.41MWp</t>
  </si>
  <si>
    <t>峙书/峙书光伏</t>
  </si>
  <si>
    <t>100MW/141.4MWp</t>
  </si>
  <si>
    <t>寨安/寨安光伏</t>
  </si>
  <si>
    <t>50MW/69.66MWp</t>
  </si>
  <si>
    <t>康宁/板棍光伏</t>
  </si>
  <si>
    <t>140MW/194.7MWp</t>
  </si>
  <si>
    <t>浦峙/北江光伏</t>
  </si>
  <si>
    <t>90MW/126MWp</t>
  </si>
  <si>
    <t>坤山/那楠风电</t>
  </si>
  <si>
    <t>56.38MW</t>
  </si>
  <si>
    <t>宁明县整县分布式</t>
  </si>
  <si>
    <t>4.33MW/6.04MWp</t>
  </si>
  <si>
    <t>大新、龙州公司</t>
  </si>
  <si>
    <t>62.80MW</t>
  </si>
  <si>
    <t>1031.28(光)
2185(风)</t>
  </si>
  <si>
    <t>武安/龙门风电</t>
  </si>
  <si>
    <t>60MW</t>
  </si>
  <si>
    <t>龙州县整县分布式</t>
  </si>
  <si>
    <t>2.80MW/3.68MWp</t>
  </si>
  <si>
    <t>贵港公司</t>
  </si>
  <si>
    <t>526.91MW</t>
  </si>
  <si>
    <t>1178.11(光)
1839(风)</t>
  </si>
  <si>
    <t>榕木/覃塘南光伏</t>
  </si>
  <si>
    <t>144.98MW/197.05MWp</t>
  </si>
  <si>
    <t>樟木/覃塘北光伏</t>
  </si>
  <si>
    <t>337.93MW/473.1MWp</t>
  </si>
  <si>
    <t>樟木/樟木风电</t>
  </si>
  <si>
    <t>44MW</t>
  </si>
  <si>
    <t>四、设备停运情况</t>
  </si>
  <si>
    <t>停运容量合计：47.01（光)、55.5（风)</t>
  </si>
  <si>
    <t>非计划停运容量合计：47.01MW(光)、25MW(风)</t>
  </si>
  <si>
    <t>计划停运容量合计：0.00MW(光)、30.5MW(风)</t>
  </si>
  <si>
    <t>非计划停运情况</t>
  </si>
  <si>
    <t>计划停运情况</t>
  </si>
  <si>
    <t>江州、绿电公司</t>
  </si>
  <si>
    <t>非计划停运容量小计：0.42MW</t>
  </si>
  <si>
    <t>计划停运容量合计：0.00MW</t>
  </si>
  <si>
    <t>组串支路故障15条，影响容量0.15MW/0.26MWp；
共计影响容量0.15MW/0.26MWp</t>
  </si>
  <si>
    <t>无</t>
  </si>
  <si>
    <t>组串支路故障1条，影响容量0.01MW/0.02MWp；
共计影响容量0.01MW/0.02MWp</t>
  </si>
  <si>
    <t>组串支路故障1条，影响容量0.01MW/0.02MWp；
逆变器故障1台，影响容量0.25MW/0.35MWp；
共计影响容量0.26MW/0.37MWp</t>
  </si>
  <si>
    <t>非计划停运容量小计：1.21MW</t>
  </si>
  <si>
    <t>计划停运容量合计：18.75MW</t>
  </si>
  <si>
    <t>组串支路故障4条，影响容量0.04MW/0.05MWp；
逆变器故障1台，影响容量0.32MW/0.45MWp；
共计影响容量0.36MW/0.5MWp</t>
  </si>
  <si>
    <t>岑凡/南部光伏项目</t>
  </si>
  <si>
    <t>组串支路故障91条，影响容量0.85MW/1.45MWp；
共计影响容量0.85MW/1.45MWp</t>
  </si>
  <si>
    <t>#10、#12、#8风机计划停运，影响容量18.75MW；
共计影响容量18.75MW</t>
  </si>
  <si>
    <t>非计划停运容量小计：25.22MW</t>
  </si>
  <si>
    <t>计划停运容量合计：6.25MW</t>
  </si>
  <si>
    <t>组串支路故障11条，影响容量0.11MW/0.19MWp；
共计影响容量0.11MW/0.19MWp</t>
  </si>
  <si>
    <t>峙书光伏</t>
  </si>
  <si>
    <t>组串支路故障7条，影响容量0.07MW/0.14MWp；
共计影响容量0.07MW/0.14MWp</t>
  </si>
  <si>
    <t>寨安光伏</t>
  </si>
  <si>
    <t>组串支路故障2条，影响容量0.04MW/0.06MWp；
共计影响容量0.04MW/0.06MWp</t>
  </si>
  <si>
    <t>#2、#4、#5、#6风机故障停运，影响容量25MW；
共计影响容量25MW</t>
  </si>
  <si>
    <t>#9风机计划停运，影响容量6.25MW；
共计影响容量6.25MW</t>
  </si>
  <si>
    <t>非计划停运容量小计：45.16MW</t>
  </si>
  <si>
    <t>计划停运容量合计：5.5MW</t>
  </si>
  <si>
    <t>组串支路故障1条，影响容量0.02MW/0.03MWp；
共计影响容量0.02MW/0.03MWp</t>
  </si>
  <si>
    <t>组串支路故障244条，影响容量2.63MW3.86MWp；
逆变器故障1台，影响容量0.23MW/0.32MWp；
逆变器被民工人为拉停173台，影响容量42.28MW/59.19MWp
共计影响容量45.14MW/63.37MWp</t>
  </si>
  <si>
    <t>#12风机计划停运，影响容量5.5MW；
共计影响容量5.5MW</t>
  </si>
  <si>
    <t>五、其他事项</t>
  </si>
  <si>
    <t>安全情况</t>
  </si>
  <si>
    <t>增容并网情况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</si>
</sst>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0" applyNumberFormat="0" applyFill="0" applyAlignment="0" applyProtection="0">
      <alignment vertical="center"/>
    </xf>
    <xf numFmtId="0" fontId="10" fillId="0" borderId="50" applyNumberFormat="0" applyFill="0" applyAlignment="0" applyProtection="0">
      <alignment vertical="center"/>
    </xf>
    <xf numFmtId="0" fontId="11" fillId="0" borderId="5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2" applyNumberFormat="0" applyAlignment="0" applyProtection="0">
      <alignment vertical="center"/>
    </xf>
    <xf numFmtId="0" fontId="13" fillId="6" borderId="53" applyNumberFormat="0" applyAlignment="0" applyProtection="0">
      <alignment vertical="center"/>
    </xf>
    <xf numFmtId="0" fontId="14" fillId="6" borderId="52" applyNumberFormat="0" applyAlignment="0" applyProtection="0">
      <alignment vertical="center"/>
    </xf>
    <xf numFmtId="0" fontId="15" fillId="7" borderId="54" applyNumberFormat="0" applyAlignment="0" applyProtection="0">
      <alignment vertical="center"/>
    </xf>
    <xf numFmtId="0" fontId="16" fillId="0" borderId="55" applyNumberFormat="0" applyFill="0" applyAlignment="0" applyProtection="0">
      <alignment vertical="center"/>
    </xf>
    <xf numFmtId="0" fontId="17" fillId="0" borderId="5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176" fontId="1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left" vertical="center"/>
    </xf>
    <xf numFmtId="176" fontId="3" fillId="2" borderId="0" xfId="0" applyNumberFormat="1" applyFont="1" applyFill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 wrapText="1"/>
    </xf>
    <xf numFmtId="176" fontId="1" fillId="2" borderId="2" xfId="0" applyNumberFormat="1" applyFont="1" applyFill="1" applyBorder="1" applyAlignment="1">
      <alignment horizontal="left" vertical="center" wrapText="1"/>
    </xf>
    <xf numFmtId="176" fontId="1" fillId="2" borderId="3" xfId="0" applyNumberFormat="1" applyFont="1" applyFill="1" applyBorder="1" applyAlignment="1">
      <alignment horizontal="left" vertical="center" wrapText="1"/>
    </xf>
    <xf numFmtId="176" fontId="1" fillId="2" borderId="4" xfId="0" applyNumberFormat="1" applyFont="1" applyFill="1" applyBorder="1" applyAlignment="1">
      <alignment horizontal="left" vertical="center" wrapText="1"/>
    </xf>
    <xf numFmtId="176" fontId="1" fillId="2" borderId="5" xfId="0" applyNumberFormat="1" applyFont="1" applyFill="1" applyBorder="1" applyAlignment="1">
      <alignment horizontal="left" vertical="center" wrapText="1"/>
    </xf>
    <xf numFmtId="176" fontId="1" fillId="2" borderId="2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3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6" xfId="0" applyNumberFormat="1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left" vertical="center" wrapText="1"/>
    </xf>
    <xf numFmtId="176" fontId="1" fillId="2" borderId="8" xfId="0" applyNumberFormat="1" applyFont="1" applyFill="1" applyBorder="1" applyAlignment="1">
      <alignment horizontal="left" vertical="center" wrapText="1"/>
    </xf>
    <xf numFmtId="176" fontId="1" fillId="2" borderId="9" xfId="0" applyNumberFormat="1" applyFont="1" applyFill="1" applyBorder="1" applyAlignment="1">
      <alignment horizontal="left" vertical="center" wrapText="1"/>
    </xf>
    <xf numFmtId="176" fontId="1" fillId="2" borderId="10" xfId="0" applyNumberFormat="1" applyFont="1" applyFill="1" applyBorder="1" applyAlignment="1">
      <alignment horizontal="left" vertical="center" wrapText="1"/>
    </xf>
    <xf numFmtId="176" fontId="1" fillId="2" borderId="11" xfId="0" applyNumberFormat="1" applyFont="1" applyFill="1" applyBorder="1" applyAlignment="1">
      <alignment horizontal="left" vertical="center" wrapText="1"/>
    </xf>
    <xf numFmtId="176" fontId="1" fillId="2" borderId="12" xfId="0" applyNumberFormat="1" applyFont="1" applyFill="1" applyBorder="1" applyAlignment="1">
      <alignment horizontal="left" vertical="center" wrapText="1"/>
    </xf>
    <xf numFmtId="176" fontId="1" fillId="2" borderId="13" xfId="0" applyNumberFormat="1" applyFont="1" applyFill="1" applyBorder="1" applyAlignment="1">
      <alignment horizontal="left" vertical="center" wrapText="1"/>
    </xf>
    <xf numFmtId="176" fontId="1" fillId="2" borderId="14" xfId="0" applyNumberFormat="1" applyFont="1" applyFill="1" applyBorder="1" applyAlignment="1">
      <alignment horizontal="left" vertical="center" wrapText="1"/>
    </xf>
    <xf numFmtId="176" fontId="1" fillId="2" borderId="15" xfId="0" applyNumberFormat="1" applyFont="1" applyFill="1" applyBorder="1" applyAlignment="1">
      <alignment horizontal="left" vertical="center"/>
    </xf>
    <xf numFmtId="176" fontId="1" fillId="2" borderId="16" xfId="0" applyNumberFormat="1" applyFont="1" applyFill="1" applyBorder="1" applyAlignment="1">
      <alignment horizontal="left" vertical="center" wrapText="1"/>
    </xf>
    <xf numFmtId="176" fontId="1" fillId="2" borderId="17" xfId="0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176" fontId="1" fillId="2" borderId="18" xfId="0" applyNumberFormat="1" applyFont="1" applyFill="1" applyBorder="1" applyAlignment="1">
      <alignment horizontal="left" vertical="center" wrapText="1"/>
    </xf>
    <xf numFmtId="176" fontId="1" fillId="2" borderId="15" xfId="0" applyNumberFormat="1" applyFont="1" applyFill="1" applyBorder="1" applyAlignment="1">
      <alignment horizontal="left" vertical="center" wrapText="1"/>
    </xf>
    <xf numFmtId="176" fontId="1" fillId="2" borderId="19" xfId="0" applyNumberFormat="1" applyFont="1" applyFill="1" applyBorder="1" applyAlignment="1">
      <alignment horizontal="left" vertical="center" wrapText="1"/>
    </xf>
    <xf numFmtId="176" fontId="1" fillId="2" borderId="20" xfId="0" applyNumberFormat="1" applyFont="1" applyFill="1" applyBorder="1" applyAlignment="1">
      <alignment horizontal="left" vertical="center" wrapText="1"/>
    </xf>
    <xf numFmtId="176" fontId="1" fillId="2" borderId="21" xfId="0" applyNumberFormat="1" applyFont="1" applyFill="1" applyBorder="1" applyAlignment="1">
      <alignment horizontal="left" vertical="center" wrapText="1"/>
    </xf>
    <xf numFmtId="176" fontId="1" fillId="2" borderId="22" xfId="0" applyNumberFormat="1" applyFont="1" applyFill="1" applyBorder="1" applyAlignment="1">
      <alignment horizontal="left" vertical="center" wrapText="1"/>
    </xf>
    <xf numFmtId="176" fontId="1" fillId="2" borderId="23" xfId="0" applyNumberFormat="1" applyFont="1" applyFill="1" applyBorder="1" applyAlignment="1">
      <alignment horizontal="left" vertical="center" wrapText="1"/>
    </xf>
    <xf numFmtId="176" fontId="1" fillId="2" borderId="24" xfId="0" applyNumberFormat="1" applyFont="1" applyFill="1" applyBorder="1" applyAlignment="1">
      <alignment horizontal="left" vertical="center" wrapText="1"/>
    </xf>
    <xf numFmtId="176" fontId="1" fillId="2" borderId="17" xfId="0" applyNumberFormat="1" applyFont="1" applyFill="1" applyBorder="1" applyAlignment="1">
      <alignment horizontal="left" vertical="center"/>
    </xf>
    <xf numFmtId="176" fontId="1" fillId="2" borderId="25" xfId="0" applyNumberFormat="1" applyFont="1" applyFill="1" applyBorder="1" applyAlignment="1">
      <alignment horizontal="left" vertical="center" wrapText="1"/>
    </xf>
    <xf numFmtId="176" fontId="1" fillId="2" borderId="3" xfId="0" applyNumberFormat="1" applyFont="1" applyFill="1" applyBorder="1" applyAlignment="1">
      <alignment horizontal="left" vertical="center"/>
    </xf>
    <xf numFmtId="176" fontId="1" fillId="2" borderId="4" xfId="0" applyNumberFormat="1" applyFont="1" applyFill="1" applyBorder="1" applyAlignment="1">
      <alignment horizontal="left" vertical="center" wrapText="1" shrinkToFit="1"/>
    </xf>
    <xf numFmtId="176" fontId="1" fillId="2" borderId="26" xfId="0" applyNumberFormat="1" applyFont="1" applyFill="1" applyBorder="1" applyAlignment="1">
      <alignment horizontal="left" vertical="center"/>
    </xf>
    <xf numFmtId="176" fontId="1" fillId="2" borderId="25" xfId="0" applyNumberFormat="1" applyFont="1" applyFill="1" applyBorder="1" applyAlignment="1">
      <alignment horizontal="left" vertical="center"/>
    </xf>
    <xf numFmtId="176" fontId="1" fillId="2" borderId="27" xfId="0" applyNumberFormat="1" applyFont="1" applyFill="1" applyBorder="1" applyAlignment="1">
      <alignment horizontal="left" vertical="center" wrapText="1"/>
    </xf>
    <xf numFmtId="176" fontId="1" fillId="2" borderId="9" xfId="0" applyNumberFormat="1" applyFont="1" applyFill="1" applyBorder="1" applyAlignment="1">
      <alignment horizontal="left" vertical="center" wrapText="1" shrinkToFit="1"/>
    </xf>
    <xf numFmtId="176" fontId="1" fillId="2" borderId="10" xfId="0" applyNumberFormat="1" applyFont="1" applyFill="1" applyBorder="1" applyAlignment="1">
      <alignment horizontal="left" vertical="center"/>
    </xf>
    <xf numFmtId="176" fontId="1" fillId="2" borderId="6" xfId="0" applyNumberFormat="1" applyFont="1" applyFill="1" applyBorder="1" applyAlignment="1">
      <alignment horizontal="left" vertical="center"/>
    </xf>
    <xf numFmtId="176" fontId="1" fillId="2" borderId="20" xfId="0" applyNumberFormat="1" applyFont="1" applyFill="1" applyBorder="1" applyAlignment="1">
      <alignment horizontal="left" vertical="center"/>
    </xf>
    <xf numFmtId="176" fontId="1" fillId="2" borderId="23" xfId="0" applyNumberFormat="1" applyFont="1" applyFill="1" applyBorder="1" applyAlignment="1">
      <alignment horizontal="left" vertical="center"/>
    </xf>
    <xf numFmtId="176" fontId="1" fillId="2" borderId="24" xfId="0" applyNumberFormat="1" applyFont="1" applyFill="1" applyBorder="1" applyAlignment="1">
      <alignment horizontal="left" vertical="center" wrapText="1" shrinkToFit="1"/>
    </xf>
    <xf numFmtId="176" fontId="1" fillId="2" borderId="28" xfId="0" applyNumberFormat="1" applyFont="1" applyFill="1" applyBorder="1" applyAlignment="1">
      <alignment horizontal="left" vertical="center" wrapText="1"/>
    </xf>
    <xf numFmtId="176" fontId="1" fillId="2" borderId="13" xfId="0" applyNumberFormat="1" applyFont="1" applyFill="1" applyBorder="1" applyAlignment="1">
      <alignment horizontal="left" vertical="center"/>
    </xf>
    <xf numFmtId="176" fontId="1" fillId="2" borderId="29" xfId="0" applyNumberFormat="1" applyFont="1" applyFill="1" applyBorder="1" applyAlignment="1">
      <alignment horizontal="left" vertical="center" wrapText="1"/>
    </xf>
    <xf numFmtId="176" fontId="1" fillId="2" borderId="14" xfId="0" applyNumberFormat="1" applyFont="1" applyFill="1" applyBorder="1" applyAlignment="1">
      <alignment horizontal="left" vertical="center"/>
    </xf>
    <xf numFmtId="176" fontId="3" fillId="2" borderId="30" xfId="0" applyNumberFormat="1" applyFont="1" applyFill="1" applyBorder="1" applyAlignment="1">
      <alignment horizontal="left" vertical="center"/>
    </xf>
    <xf numFmtId="176" fontId="3" fillId="2" borderId="2" xfId="0" applyNumberFormat="1" applyFont="1" applyFill="1" applyBorder="1" applyAlignment="1">
      <alignment horizontal="left" vertical="center"/>
    </xf>
    <xf numFmtId="176" fontId="3" fillId="2" borderId="25" xfId="0" applyNumberFormat="1" applyFont="1" applyFill="1" applyBorder="1" applyAlignment="1">
      <alignment horizontal="left" vertical="center" wrapText="1"/>
    </xf>
    <xf numFmtId="176" fontId="3" fillId="0" borderId="25" xfId="0" applyNumberFormat="1" applyFont="1" applyBorder="1" applyAlignment="1">
      <alignment horizontal="left" vertical="center" wrapText="1"/>
    </xf>
    <xf numFmtId="176" fontId="3" fillId="2" borderId="31" xfId="0" applyNumberFormat="1" applyFont="1" applyFill="1" applyBorder="1" applyAlignment="1">
      <alignment horizontal="left" vertical="center" wrapText="1"/>
    </xf>
    <xf numFmtId="176" fontId="3" fillId="2" borderId="32" xfId="0" applyNumberFormat="1" applyFont="1" applyFill="1" applyBorder="1" applyAlignment="1">
      <alignment horizontal="left" vertical="center" wrapText="1"/>
    </xf>
    <xf numFmtId="176" fontId="3" fillId="2" borderId="27" xfId="0" applyNumberFormat="1" applyFont="1" applyFill="1" applyBorder="1" applyAlignment="1">
      <alignment horizontal="left" vertical="center" wrapText="1"/>
    </xf>
    <xf numFmtId="176" fontId="3" fillId="2" borderId="27" xfId="0" applyNumberFormat="1" applyFont="1" applyFill="1" applyBorder="1" applyAlignment="1">
      <alignment horizontal="left" vertical="center"/>
    </xf>
    <xf numFmtId="176" fontId="3" fillId="0" borderId="10" xfId="0" applyNumberFormat="1" applyFont="1" applyBorder="1" applyAlignment="1">
      <alignment horizontal="left" vertical="center"/>
    </xf>
    <xf numFmtId="176" fontId="3" fillId="2" borderId="27" xfId="0" applyNumberFormat="1" applyFont="1" applyFill="1" applyBorder="1" applyAlignment="1">
      <alignment horizontal="left" vertical="center" wrapText="1" shrinkToFit="1"/>
    </xf>
    <xf numFmtId="176" fontId="3" fillId="2" borderId="33" xfId="0" applyNumberFormat="1" applyFont="1" applyFill="1" applyBorder="1" applyAlignment="1">
      <alignment horizontal="left" vertical="center" wrapText="1"/>
    </xf>
    <xf numFmtId="176" fontId="3" fillId="2" borderId="34" xfId="0" applyNumberFormat="1" applyFont="1" applyFill="1" applyBorder="1" applyAlignment="1">
      <alignment horizontal="left" vertical="center" wrapText="1"/>
    </xf>
    <xf numFmtId="176" fontId="3" fillId="0" borderId="27" xfId="0" applyNumberFormat="1" applyFont="1" applyBorder="1" applyAlignment="1">
      <alignment horizontal="left" vertical="center"/>
    </xf>
    <xf numFmtId="176" fontId="3" fillId="2" borderId="35" xfId="0" applyNumberFormat="1" applyFont="1" applyFill="1" applyBorder="1" applyAlignment="1">
      <alignment horizontal="left" vertical="center"/>
    </xf>
    <xf numFmtId="176" fontId="3" fillId="2" borderId="36" xfId="0" applyNumberFormat="1" applyFont="1" applyFill="1" applyBorder="1" applyAlignment="1">
      <alignment horizontal="left" vertical="center" wrapText="1"/>
    </xf>
    <xf numFmtId="9" fontId="3" fillId="3" borderId="27" xfId="3" applyFont="1" applyFill="1" applyBorder="1" applyAlignment="1">
      <alignment horizontal="left" vertical="center"/>
    </xf>
    <xf numFmtId="176" fontId="1" fillId="2" borderId="27" xfId="0" applyNumberFormat="1" applyFont="1" applyFill="1" applyBorder="1" applyAlignment="1">
      <alignment horizontal="left" vertical="center"/>
    </xf>
    <xf numFmtId="176" fontId="3" fillId="2" borderId="10" xfId="0" applyNumberFormat="1" applyFont="1" applyFill="1" applyBorder="1" applyAlignment="1">
      <alignment horizontal="left" vertical="center" wrapText="1"/>
    </xf>
    <xf numFmtId="176" fontId="1" fillId="2" borderId="32" xfId="0" applyNumberFormat="1" applyFont="1" applyFill="1" applyBorder="1" applyAlignment="1">
      <alignment horizontal="left" vertical="center"/>
    </xf>
    <xf numFmtId="176" fontId="1" fillId="2" borderId="12" xfId="0" applyNumberFormat="1" applyFont="1" applyFill="1" applyBorder="1" applyAlignment="1">
      <alignment horizontal="left" vertical="center"/>
    </xf>
    <xf numFmtId="176" fontId="1" fillId="0" borderId="27" xfId="0" applyNumberFormat="1" applyFont="1" applyBorder="1" applyAlignment="1">
      <alignment horizontal="left" vertical="center"/>
    </xf>
    <xf numFmtId="176" fontId="1" fillId="2" borderId="10" xfId="0" applyNumberFormat="1" applyFont="1" applyFill="1" applyBorder="1" applyAlignment="1">
      <alignment horizontal="left" vertical="center" wrapText="1" shrinkToFit="1"/>
    </xf>
    <xf numFmtId="176" fontId="1" fillId="2" borderId="36" xfId="0" applyNumberFormat="1" applyFont="1" applyFill="1" applyBorder="1" applyAlignment="1">
      <alignment horizontal="left" vertical="center" wrapText="1" shrinkToFit="1"/>
    </xf>
    <xf numFmtId="176" fontId="1" fillId="2" borderId="12" xfId="0" applyNumberFormat="1" applyFont="1" applyFill="1" applyBorder="1" applyAlignment="1">
      <alignment horizontal="left" vertical="center"/>
    </xf>
    <xf numFmtId="9" fontId="1" fillId="3" borderId="27" xfId="3" applyFont="1" applyFill="1" applyBorder="1" applyAlignment="1">
      <alignment horizontal="left" vertical="center"/>
    </xf>
    <xf numFmtId="176" fontId="3" fillId="2" borderId="37" xfId="0" applyNumberFormat="1" applyFont="1" applyFill="1" applyBorder="1" applyAlignment="1">
      <alignment horizontal="left" vertical="center" wrapText="1"/>
    </xf>
    <xf numFmtId="176" fontId="1" fillId="2" borderId="38" xfId="0" applyNumberFormat="1" applyFont="1" applyFill="1" applyBorder="1" applyAlignment="1">
      <alignment horizontal="left" vertical="center"/>
    </xf>
    <xf numFmtId="176" fontId="3" fillId="2" borderId="39" xfId="0" applyNumberFormat="1" applyFont="1" applyFill="1" applyBorder="1" applyAlignment="1">
      <alignment horizontal="left" vertical="center" wrapText="1"/>
    </xf>
    <xf numFmtId="176" fontId="1" fillId="2" borderId="40" xfId="0" applyNumberFormat="1" applyFont="1" applyFill="1" applyBorder="1" applyAlignment="1">
      <alignment horizontal="left" vertical="center"/>
    </xf>
    <xf numFmtId="176" fontId="3" fillId="2" borderId="10" xfId="0" applyNumberFormat="1" applyFont="1" applyFill="1" applyBorder="1" applyAlignment="1">
      <alignment horizontal="left" vertical="center" wrapText="1" shrinkToFit="1"/>
    </xf>
    <xf numFmtId="176" fontId="1" fillId="2" borderId="37" xfId="0" applyNumberFormat="1" applyFont="1" applyFill="1" applyBorder="1" applyAlignment="1">
      <alignment horizontal="left" vertical="center"/>
    </xf>
    <xf numFmtId="176" fontId="1" fillId="2" borderId="39" xfId="0" applyNumberFormat="1" applyFont="1" applyFill="1" applyBorder="1" applyAlignment="1">
      <alignment horizontal="left" vertical="center"/>
    </xf>
    <xf numFmtId="176" fontId="1" fillId="2" borderId="38" xfId="0" applyNumberFormat="1" applyFont="1" applyFill="1" applyBorder="1" applyAlignment="1">
      <alignment horizontal="left" vertical="center" wrapText="1"/>
    </xf>
    <xf numFmtId="176" fontId="1" fillId="0" borderId="38" xfId="0" applyNumberFormat="1" applyFont="1" applyBorder="1" applyAlignment="1">
      <alignment horizontal="left" vertical="center"/>
    </xf>
    <xf numFmtId="176" fontId="1" fillId="2" borderId="41" xfId="0" applyNumberFormat="1" applyFont="1" applyFill="1" applyBorder="1" applyAlignment="1">
      <alignment horizontal="left" vertical="center" wrapText="1" shrinkToFit="1"/>
    </xf>
    <xf numFmtId="176" fontId="1" fillId="2" borderId="42" xfId="0" applyNumberFormat="1" applyFont="1" applyFill="1" applyBorder="1" applyAlignment="1">
      <alignment horizontal="left" vertical="center" wrapText="1" shrinkToFit="1"/>
    </xf>
    <xf numFmtId="176" fontId="3" fillId="2" borderId="0" xfId="0" applyNumberFormat="1" applyFont="1" applyFill="1" applyAlignment="1">
      <alignment horizontal="left" vertical="center" wrapText="1"/>
    </xf>
    <xf numFmtId="176" fontId="3" fillId="2" borderId="35" xfId="0" applyNumberFormat="1" applyFont="1" applyFill="1" applyBorder="1" applyAlignment="1">
      <alignment horizontal="left" vertical="center" wrapText="1"/>
    </xf>
    <xf numFmtId="176" fontId="3" fillId="0" borderId="35" xfId="0" applyNumberFormat="1" applyFont="1" applyBorder="1" applyAlignment="1">
      <alignment horizontal="left" vertical="center"/>
    </xf>
    <xf numFmtId="176" fontId="3" fillId="2" borderId="11" xfId="0" applyNumberFormat="1" applyFont="1" applyFill="1" applyBorder="1" applyAlignment="1">
      <alignment horizontal="left" vertical="center" wrapText="1" shrinkToFit="1"/>
    </xf>
    <xf numFmtId="176" fontId="3" fillId="2" borderId="33" xfId="0" applyNumberFormat="1" applyFont="1" applyFill="1" applyBorder="1" applyAlignment="1">
      <alignment horizontal="left" vertical="center" wrapText="1" shrinkToFit="1"/>
    </xf>
    <xf numFmtId="176" fontId="1" fillId="2" borderId="43" xfId="0" applyNumberFormat="1" applyFont="1" applyFill="1" applyBorder="1" applyAlignment="1">
      <alignment horizontal="left" vertical="center"/>
    </xf>
    <xf numFmtId="176" fontId="1" fillId="2" borderId="44" xfId="0" applyNumberFormat="1" applyFont="1" applyFill="1" applyBorder="1" applyAlignment="1">
      <alignment horizontal="left" vertical="center"/>
    </xf>
    <xf numFmtId="176" fontId="1" fillId="2" borderId="28" xfId="0" applyNumberFormat="1" applyFont="1" applyFill="1" applyBorder="1" applyAlignment="1">
      <alignment horizontal="left" vertical="center"/>
    </xf>
    <xf numFmtId="176" fontId="1" fillId="0" borderId="28" xfId="0" applyNumberFormat="1" applyFont="1" applyBorder="1" applyAlignment="1">
      <alignment horizontal="left" vertical="center"/>
    </xf>
    <xf numFmtId="176" fontId="1" fillId="2" borderId="44" xfId="0" applyNumberFormat="1" applyFont="1" applyFill="1" applyBorder="1" applyAlignment="1">
      <alignment horizontal="left" vertical="center"/>
    </xf>
    <xf numFmtId="176" fontId="1" fillId="2" borderId="13" xfId="0" applyNumberFormat="1" applyFont="1" applyFill="1" applyBorder="1" applyAlignment="1">
      <alignment horizontal="left" vertical="center" wrapText="1" shrinkToFit="1"/>
    </xf>
    <xf numFmtId="176" fontId="1" fillId="2" borderId="45" xfId="0" applyNumberFormat="1" applyFont="1" applyFill="1" applyBorder="1" applyAlignment="1">
      <alignment horizontal="left" vertical="center" wrapText="1" shrinkToFit="1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3" fillId="2" borderId="30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 wrapText="1" shrinkToFit="1"/>
    </xf>
    <xf numFmtId="49" fontId="3" fillId="2" borderId="25" xfId="0" applyNumberFormat="1" applyFont="1" applyFill="1" applyBorder="1" applyAlignment="1">
      <alignment horizontal="left" vertical="center" wrapText="1" shrinkToFit="1"/>
    </xf>
    <xf numFmtId="49" fontId="3" fillId="2" borderId="46" xfId="0" applyNumberFormat="1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 wrapText="1" shrinkToFit="1"/>
    </xf>
    <xf numFmtId="49" fontId="3" fillId="2" borderId="27" xfId="0" applyNumberFormat="1" applyFont="1" applyFill="1" applyBorder="1" applyAlignment="1">
      <alignment horizontal="left" vertical="center" wrapText="1" shrinkToFit="1"/>
    </xf>
    <xf numFmtId="0" fontId="3" fillId="2" borderId="46" xfId="0" applyFont="1" applyFill="1" applyBorder="1" applyAlignment="1">
      <alignment horizontal="left" vertical="center" wrapText="1"/>
    </xf>
    <xf numFmtId="0" fontId="3" fillId="2" borderId="38" xfId="0" applyFont="1" applyFill="1" applyBorder="1" applyAlignment="1">
      <alignment horizontal="left" vertical="center" wrapText="1" shrinkToFit="1"/>
    </xf>
    <xf numFmtId="49" fontId="3" fillId="2" borderId="38" xfId="0" applyNumberFormat="1" applyFont="1" applyFill="1" applyBorder="1" applyAlignment="1">
      <alignment horizontal="left" vertical="center" wrapText="1" shrinkToFit="1"/>
    </xf>
    <xf numFmtId="0" fontId="1" fillId="2" borderId="4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 wrapText="1" shrinkToFit="1"/>
    </xf>
    <xf numFmtId="49" fontId="1" fillId="2" borderId="27" xfId="0" applyNumberFormat="1" applyFont="1" applyFill="1" applyBorder="1" applyAlignment="1">
      <alignment horizontal="left" vertical="center" wrapText="1" shrinkToFit="1"/>
    </xf>
    <xf numFmtId="0" fontId="1" fillId="2" borderId="3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1" fillId="2" borderId="27" xfId="0" applyNumberFormat="1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49" fontId="1" fillId="2" borderId="38" xfId="0" applyNumberFormat="1" applyFont="1" applyFill="1" applyBorder="1" applyAlignment="1">
      <alignment horizontal="left" vertical="center" wrapText="1" shrinkToFit="1"/>
    </xf>
    <xf numFmtId="0" fontId="1" fillId="2" borderId="27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49" fontId="1" fillId="2" borderId="31" xfId="0" applyNumberFormat="1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0" fontId="1" fillId="2" borderId="48" xfId="0" applyFont="1" applyFill="1" applyBorder="1" applyAlignment="1">
      <alignment horizontal="left" vertical="center"/>
    </xf>
    <xf numFmtId="49" fontId="1" fillId="2" borderId="45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tabSelected="1" topLeftCell="A24" workbookViewId="0">
      <selection activeCell="I40" sqref="I40"/>
    </sheetView>
  </sheetViews>
  <sheetFormatPr defaultColWidth="9.23076923076923" defaultRowHeight="16.8"/>
  <cols>
    <col min="1" max="16" width="15.5384615384615" style="1" customWidth="1"/>
  </cols>
  <sheetData>
    <row r="1" ht="28.8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8.8" customHeight="1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</v>
      </c>
      <c r="P2" s="3"/>
    </row>
    <row r="3" ht="19.1" customHeight="1" spans="1:1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</row>
    <row r="4" ht="89.5" customHeight="1" spans="1:16">
      <c r="A4" s="5" t="s">
        <v>3</v>
      </c>
      <c r="B4" s="6" t="s">
        <v>4</v>
      </c>
      <c r="C4" s="7">
        <v>324.94</v>
      </c>
      <c r="D4" s="8" t="s">
        <v>5</v>
      </c>
      <c r="E4" s="5" t="s">
        <v>6</v>
      </c>
      <c r="F4" s="9" t="s">
        <v>4</v>
      </c>
      <c r="G4" s="10">
        <v>226.88</v>
      </c>
      <c r="H4" s="8" t="s">
        <v>5</v>
      </c>
      <c r="I4" s="5" t="s">
        <v>7</v>
      </c>
      <c r="J4" s="6" t="s">
        <v>4</v>
      </c>
      <c r="K4" s="11">
        <v>87.49</v>
      </c>
      <c r="L4" s="8" t="s">
        <v>5</v>
      </c>
      <c r="M4" s="12" t="s">
        <v>8</v>
      </c>
      <c r="N4" s="7" t="s">
        <v>9</v>
      </c>
      <c r="O4" s="7" t="s">
        <v>10</v>
      </c>
      <c r="P4" s="8" t="s">
        <v>5</v>
      </c>
    </row>
    <row r="5" ht="34.75" spans="1:16">
      <c r="A5" s="5"/>
      <c r="B5" s="13" t="s">
        <v>11</v>
      </c>
      <c r="C5" s="14">
        <v>3478.72</v>
      </c>
      <c r="D5" s="15" t="s">
        <v>5</v>
      </c>
      <c r="E5" s="5"/>
      <c r="F5" s="13" t="s">
        <v>11</v>
      </c>
      <c r="G5" s="14">
        <v>2598.36</v>
      </c>
      <c r="H5" s="15" t="s">
        <v>5</v>
      </c>
      <c r="I5" s="5"/>
      <c r="J5" s="13" t="s">
        <v>11</v>
      </c>
      <c r="K5" s="14">
        <v>740.59</v>
      </c>
      <c r="L5" s="15" t="s">
        <v>5</v>
      </c>
      <c r="M5" s="12"/>
      <c r="N5" s="16" t="s">
        <v>12</v>
      </c>
      <c r="O5" s="17">
        <v>1026.2</v>
      </c>
      <c r="P5" s="15" t="s">
        <v>5</v>
      </c>
    </row>
    <row r="6" ht="34.75" spans="1:16">
      <c r="A6" s="5"/>
      <c r="B6" s="13" t="s">
        <v>13</v>
      </c>
      <c r="C6" s="18">
        <v>16442.77</v>
      </c>
      <c r="D6" s="15" t="s">
        <v>5</v>
      </c>
      <c r="E6" s="5"/>
      <c r="F6" s="13" t="s">
        <v>13</v>
      </c>
      <c r="G6" s="18">
        <v>13044.71</v>
      </c>
      <c r="H6" s="15" t="s">
        <v>5</v>
      </c>
      <c r="I6" s="5"/>
      <c r="J6" s="13" t="s">
        <v>13</v>
      </c>
      <c r="K6" s="14">
        <v>2683.71</v>
      </c>
      <c r="L6" s="15" t="s">
        <v>5</v>
      </c>
      <c r="M6" s="12"/>
      <c r="N6" s="16" t="s">
        <v>14</v>
      </c>
      <c r="O6" s="19">
        <v>854.7</v>
      </c>
      <c r="P6" s="20" t="s">
        <v>5</v>
      </c>
    </row>
    <row r="7" ht="37.5" customHeight="1" spans="1:16">
      <c r="A7" s="5"/>
      <c r="B7" s="21" t="s">
        <v>15</v>
      </c>
      <c r="C7" s="18">
        <v>13.82</v>
      </c>
      <c r="D7" s="15" t="s">
        <v>5</v>
      </c>
      <c r="E7" s="5"/>
      <c r="F7" s="21" t="s">
        <v>15</v>
      </c>
      <c r="G7" s="18">
        <v>12.09</v>
      </c>
      <c r="H7" s="15" t="s">
        <v>5</v>
      </c>
      <c r="I7" s="5"/>
      <c r="J7" s="21" t="s">
        <v>15</v>
      </c>
      <c r="K7" s="14">
        <v>1.73</v>
      </c>
      <c r="L7" s="15" t="s">
        <v>5</v>
      </c>
      <c r="M7" s="5" t="s">
        <v>16</v>
      </c>
      <c r="N7" s="7" t="s">
        <v>4</v>
      </c>
      <c r="O7" s="17">
        <v>10.57</v>
      </c>
      <c r="P7" s="22" t="s">
        <v>5</v>
      </c>
    </row>
    <row r="8" ht="34.75" spans="1:16">
      <c r="A8" s="5"/>
      <c r="B8" s="13" t="s">
        <v>17</v>
      </c>
      <c r="C8" s="18">
        <v>4.35</v>
      </c>
      <c r="D8" s="15" t="s">
        <v>18</v>
      </c>
      <c r="E8" s="5"/>
      <c r="F8" s="13" t="s">
        <v>17</v>
      </c>
      <c r="G8" s="18">
        <v>5.35</v>
      </c>
      <c r="H8" s="15" t="s">
        <v>18</v>
      </c>
      <c r="I8" s="5"/>
      <c r="J8" s="13" t="s">
        <v>17</v>
      </c>
      <c r="K8" s="18">
        <v>1.97</v>
      </c>
      <c r="L8" s="15" t="s">
        <v>18</v>
      </c>
      <c r="M8" s="5"/>
      <c r="N8" s="16" t="s">
        <v>11</v>
      </c>
      <c r="O8" s="16">
        <v>139.77</v>
      </c>
      <c r="P8" s="15" t="s">
        <v>5</v>
      </c>
    </row>
    <row r="9" ht="34.75" spans="1:16">
      <c r="A9" s="5"/>
      <c r="B9" s="13" t="s">
        <v>19</v>
      </c>
      <c r="C9" s="18">
        <v>4.56</v>
      </c>
      <c r="D9" s="15" t="s">
        <v>18</v>
      </c>
      <c r="E9" s="5"/>
      <c r="F9" s="13" t="s">
        <v>19</v>
      </c>
      <c r="G9" s="18">
        <v>4.96</v>
      </c>
      <c r="H9" s="15" t="s">
        <v>18</v>
      </c>
      <c r="I9" s="5"/>
      <c r="J9" s="13" t="s">
        <v>19</v>
      </c>
      <c r="K9" s="18">
        <v>2.39</v>
      </c>
      <c r="L9" s="15" t="s">
        <v>18</v>
      </c>
      <c r="M9" s="5"/>
      <c r="N9" s="16" t="s">
        <v>13</v>
      </c>
      <c r="O9" s="19">
        <v>714.35</v>
      </c>
      <c r="P9" s="20" t="s">
        <v>5</v>
      </c>
    </row>
    <row r="10" ht="54.5" customHeight="1" spans="1:16">
      <c r="A10" s="5"/>
      <c r="B10" s="13" t="s">
        <v>20</v>
      </c>
      <c r="C10" s="18">
        <v>3.54</v>
      </c>
      <c r="D10" s="15" t="s">
        <v>18</v>
      </c>
      <c r="E10" s="5"/>
      <c r="F10" s="13" t="s">
        <v>20</v>
      </c>
      <c r="G10" s="18">
        <v>3.84</v>
      </c>
      <c r="H10" s="15" t="s">
        <v>18</v>
      </c>
      <c r="I10" s="5"/>
      <c r="J10" s="13" t="s">
        <v>20</v>
      </c>
      <c r="K10" s="14">
        <v>2.37</v>
      </c>
      <c r="L10" s="15" t="s">
        <v>18</v>
      </c>
      <c r="M10" s="23" t="s">
        <v>21</v>
      </c>
      <c r="N10" s="7" t="s">
        <v>4</v>
      </c>
      <c r="O10" s="17">
        <v>0</v>
      </c>
      <c r="P10" s="22" t="s">
        <v>5</v>
      </c>
    </row>
    <row r="11" ht="17.75" spans="1:16">
      <c r="A11" s="5"/>
      <c r="B11" s="13" t="s">
        <v>22</v>
      </c>
      <c r="C11" s="18">
        <v>313.83</v>
      </c>
      <c r="D11" s="22" t="s">
        <v>5</v>
      </c>
      <c r="E11" s="5"/>
      <c r="F11" s="13" t="s">
        <v>22</v>
      </c>
      <c r="G11" s="18">
        <v>217.91</v>
      </c>
      <c r="H11" s="22" t="s">
        <v>5</v>
      </c>
      <c r="I11" s="5"/>
      <c r="J11" s="13" t="s">
        <v>22</v>
      </c>
      <c r="K11" s="14">
        <v>85.35</v>
      </c>
      <c r="L11" s="22" t="s">
        <v>5</v>
      </c>
      <c r="M11" s="23"/>
      <c r="N11" s="16" t="s">
        <v>11</v>
      </c>
      <c r="O11" s="24">
        <v>3195.126</v>
      </c>
      <c r="P11" s="15" t="s">
        <v>5</v>
      </c>
    </row>
    <row r="12" ht="17.75" spans="1:16">
      <c r="A12" s="5"/>
      <c r="B12" s="13" t="s">
        <v>23</v>
      </c>
      <c r="C12" s="18">
        <v>3347.14</v>
      </c>
      <c r="D12" s="15" t="s">
        <v>5</v>
      </c>
      <c r="E12" s="5"/>
      <c r="F12" s="13" t="s">
        <v>23</v>
      </c>
      <c r="G12" s="18">
        <v>2486.67</v>
      </c>
      <c r="H12" s="15" t="s">
        <v>5</v>
      </c>
      <c r="I12" s="5"/>
      <c r="J12" s="13" t="s">
        <v>23</v>
      </c>
      <c r="K12" s="18">
        <v>720.7</v>
      </c>
      <c r="L12" s="15" t="s">
        <v>5</v>
      </c>
      <c r="M12" s="23"/>
      <c r="N12" s="16" t="s">
        <v>13</v>
      </c>
      <c r="O12" s="24">
        <v>23132.147</v>
      </c>
      <c r="P12" s="15" t="s">
        <v>5</v>
      </c>
    </row>
    <row r="13" ht="34.75" spans="1:16">
      <c r="A13" s="5"/>
      <c r="B13" s="13" t="s">
        <v>24</v>
      </c>
      <c r="C13" s="18">
        <v>16056.54</v>
      </c>
      <c r="D13" s="15" t="s">
        <v>5</v>
      </c>
      <c r="E13" s="5"/>
      <c r="F13" s="13" t="s">
        <v>24</v>
      </c>
      <c r="G13" s="18">
        <v>12568.48</v>
      </c>
      <c r="H13" s="15" t="s">
        <v>5</v>
      </c>
      <c r="I13" s="5"/>
      <c r="J13" s="13" t="s">
        <v>24</v>
      </c>
      <c r="K13" s="18">
        <v>2773.71</v>
      </c>
      <c r="L13" s="15" t="s">
        <v>5</v>
      </c>
      <c r="M13" s="23"/>
      <c r="N13" s="16" t="s">
        <v>25</v>
      </c>
      <c r="O13" s="17">
        <v>0</v>
      </c>
      <c r="P13" s="15" t="s">
        <v>26</v>
      </c>
    </row>
    <row r="14" ht="34.75" spans="1:16">
      <c r="A14" s="5"/>
      <c r="B14" s="13" t="s">
        <v>25</v>
      </c>
      <c r="C14" s="18">
        <v>1.62</v>
      </c>
      <c r="D14" s="15" t="s">
        <v>26</v>
      </c>
      <c r="E14" s="5"/>
      <c r="F14" s="13" t="s">
        <v>25</v>
      </c>
      <c r="G14" s="18">
        <v>1.37</v>
      </c>
      <c r="H14" s="15" t="s">
        <v>26</v>
      </c>
      <c r="I14" s="5"/>
      <c r="J14" s="13" t="s">
        <v>25</v>
      </c>
      <c r="K14" s="14">
        <v>3.36</v>
      </c>
      <c r="L14" s="15" t="s">
        <v>26</v>
      </c>
      <c r="M14" s="23"/>
      <c r="N14" s="16" t="s">
        <v>27</v>
      </c>
      <c r="O14" s="17">
        <v>4.422</v>
      </c>
      <c r="P14" s="15" t="s">
        <v>5</v>
      </c>
    </row>
    <row r="15" ht="34.75" spans="1:16">
      <c r="A15" s="5"/>
      <c r="B15" s="13" t="s">
        <v>28</v>
      </c>
      <c r="C15" s="18">
        <v>17.32</v>
      </c>
      <c r="D15" s="15" t="s">
        <v>26</v>
      </c>
      <c r="E15" s="5"/>
      <c r="F15" s="13" t="s">
        <v>28</v>
      </c>
      <c r="G15" s="18">
        <v>15.65</v>
      </c>
      <c r="H15" s="15" t="s">
        <v>26</v>
      </c>
      <c r="I15" s="5"/>
      <c r="J15" s="13" t="s">
        <v>28</v>
      </c>
      <c r="K15" s="18">
        <v>28.43</v>
      </c>
      <c r="L15" s="15" t="s">
        <v>26</v>
      </c>
      <c r="M15" s="23"/>
      <c r="N15" s="16" t="s">
        <v>29</v>
      </c>
      <c r="O15" s="17">
        <v>34.187</v>
      </c>
      <c r="P15" s="15" t="s">
        <v>5</v>
      </c>
    </row>
    <row r="16" ht="34.75" spans="1:16">
      <c r="A16" s="5"/>
      <c r="B16" s="13" t="s">
        <v>30</v>
      </c>
      <c r="C16" s="18">
        <v>81.89</v>
      </c>
      <c r="D16" s="15" t="s">
        <v>26</v>
      </c>
      <c r="E16" s="5"/>
      <c r="F16" s="13" t="s">
        <v>30</v>
      </c>
      <c r="G16" s="18">
        <v>78.55</v>
      </c>
      <c r="H16" s="15" t="s">
        <v>26</v>
      </c>
      <c r="I16" s="5"/>
      <c r="J16" s="13" t="s">
        <v>30</v>
      </c>
      <c r="K16" s="18">
        <v>103.03</v>
      </c>
      <c r="L16" s="15" t="s">
        <v>26</v>
      </c>
      <c r="M16" s="23"/>
      <c r="N16" s="16" t="s">
        <v>31</v>
      </c>
      <c r="O16" s="17">
        <v>90.219</v>
      </c>
      <c r="P16" s="15" t="s">
        <v>5</v>
      </c>
    </row>
    <row r="17" ht="17.75" spans="1:16">
      <c r="A17" s="5"/>
      <c r="B17" s="13" t="s">
        <v>32</v>
      </c>
      <c r="C17" s="18">
        <v>12.28</v>
      </c>
      <c r="D17" s="25" t="s">
        <v>18</v>
      </c>
      <c r="E17" s="5"/>
      <c r="F17" s="13" t="s">
        <v>33</v>
      </c>
      <c r="G17" s="18">
        <v>8.15</v>
      </c>
      <c r="H17" s="25" t="s">
        <v>18</v>
      </c>
      <c r="I17" s="5"/>
      <c r="J17" s="13" t="s">
        <v>34</v>
      </c>
      <c r="K17" s="18">
        <v>19.54</v>
      </c>
      <c r="L17" s="25" t="s">
        <v>18</v>
      </c>
      <c r="M17" s="23"/>
      <c r="N17" s="16" t="s">
        <v>22</v>
      </c>
      <c r="O17" s="17">
        <v>0</v>
      </c>
      <c r="P17" s="15" t="s">
        <v>5</v>
      </c>
    </row>
    <row r="18" ht="17.75" spans="1:16">
      <c r="A18" s="5"/>
      <c r="B18" s="13" t="s">
        <v>35</v>
      </c>
      <c r="C18" s="18">
        <v>28.07</v>
      </c>
      <c r="D18" s="25" t="s">
        <v>18</v>
      </c>
      <c r="E18" s="5"/>
      <c r="F18" s="13" t="s">
        <v>36</v>
      </c>
      <c r="G18" s="18">
        <v>30.91</v>
      </c>
      <c r="H18" s="25" t="s">
        <v>18</v>
      </c>
      <c r="I18" s="5"/>
      <c r="J18" s="13" t="s">
        <v>37</v>
      </c>
      <c r="K18" s="18">
        <v>15.02</v>
      </c>
      <c r="L18" s="25" t="s">
        <v>18</v>
      </c>
      <c r="M18" s="23"/>
      <c r="N18" s="16" t="s">
        <v>23</v>
      </c>
      <c r="O18" s="24">
        <v>3009.665</v>
      </c>
      <c r="P18" s="15" t="s">
        <v>5</v>
      </c>
    </row>
    <row r="19" ht="17.75" spans="1:16">
      <c r="A19" s="5"/>
      <c r="B19" s="26" t="s">
        <v>38</v>
      </c>
      <c r="C19" s="18">
        <v>25.59</v>
      </c>
      <c r="D19" s="25" t="s">
        <v>18</v>
      </c>
      <c r="E19" s="5"/>
      <c r="F19" s="26" t="s">
        <v>39</v>
      </c>
      <c r="G19" s="18">
        <v>26.9</v>
      </c>
      <c r="H19" s="25" t="s">
        <v>18</v>
      </c>
      <c r="I19" s="5"/>
      <c r="J19" s="26" t="s">
        <v>40</v>
      </c>
      <c r="K19" s="18">
        <v>17.85</v>
      </c>
      <c r="L19" s="25" t="s">
        <v>18</v>
      </c>
      <c r="M19" s="23"/>
      <c r="N19" s="19" t="s">
        <v>24</v>
      </c>
      <c r="O19" s="24">
        <v>21706.207</v>
      </c>
      <c r="P19" s="20" t="s">
        <v>5</v>
      </c>
    </row>
    <row r="20" ht="37.5" customHeight="1" spans="1:16">
      <c r="A20" s="27" t="s">
        <v>41</v>
      </c>
      <c r="B20" s="28" t="s">
        <v>42</v>
      </c>
      <c r="C20" s="29">
        <v>13295.32</v>
      </c>
      <c r="D20" s="30" t="s">
        <v>5</v>
      </c>
      <c r="E20" s="30" t="s">
        <v>43</v>
      </c>
      <c r="F20" s="30"/>
      <c r="G20" s="31">
        <v>26.38</v>
      </c>
      <c r="H20" s="30" t="s">
        <v>18</v>
      </c>
      <c r="I20" s="30" t="s">
        <v>44</v>
      </c>
      <c r="J20" s="30"/>
      <c r="K20" s="29">
        <v>239516.06</v>
      </c>
      <c r="L20" s="30" t="s">
        <v>5</v>
      </c>
      <c r="M20" s="30" t="s">
        <v>45</v>
      </c>
      <c r="N20" s="30"/>
      <c r="O20" s="31">
        <v>6.85</v>
      </c>
      <c r="P20" s="32" t="s">
        <v>18</v>
      </c>
    </row>
    <row r="21" ht="19.1" customHeight="1" spans="1:16">
      <c r="A21" s="4" t="s">
        <v>46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89.5" customHeight="1" spans="1:16">
      <c r="A22" s="33" t="s">
        <v>47</v>
      </c>
      <c r="B22" s="34" t="s">
        <v>48</v>
      </c>
      <c r="C22" s="35">
        <v>3241.14</v>
      </c>
      <c r="D22" s="36" t="s">
        <v>49</v>
      </c>
      <c r="E22" s="27" t="s">
        <v>6</v>
      </c>
      <c r="F22" s="34" t="s">
        <v>50</v>
      </c>
      <c r="G22" s="35">
        <v>1660.66</v>
      </c>
      <c r="H22" s="36" t="s">
        <v>49</v>
      </c>
      <c r="I22" s="27" t="s">
        <v>7</v>
      </c>
      <c r="J22" s="34" t="s">
        <v>50</v>
      </c>
      <c r="K22" s="7">
        <v>260.48</v>
      </c>
      <c r="L22" s="8" t="s">
        <v>49</v>
      </c>
      <c r="M22" s="37" t="s">
        <v>21</v>
      </c>
      <c r="N22" s="38" t="s">
        <v>50</v>
      </c>
      <c r="O22" s="7">
        <v>1320</v>
      </c>
      <c r="P22" s="8" t="s">
        <v>49</v>
      </c>
    </row>
    <row r="23" ht="34.75" spans="1:16">
      <c r="A23" s="33"/>
      <c r="B23" s="39" t="s">
        <v>51</v>
      </c>
      <c r="C23" s="17">
        <v>1818.63</v>
      </c>
      <c r="D23" s="40" t="s">
        <v>49</v>
      </c>
      <c r="E23" s="27"/>
      <c r="F23" s="39" t="s">
        <v>52</v>
      </c>
      <c r="G23" s="41">
        <v>1613.65</v>
      </c>
      <c r="H23" s="15" t="s">
        <v>49</v>
      </c>
      <c r="I23" s="27"/>
      <c r="J23" s="39" t="s">
        <v>52</v>
      </c>
      <c r="K23" s="41">
        <v>204.98</v>
      </c>
      <c r="L23" s="15" t="s">
        <v>49</v>
      </c>
      <c r="M23" s="42" t="s">
        <v>8</v>
      </c>
      <c r="N23" s="43" t="s">
        <v>50</v>
      </c>
      <c r="O23" s="44">
        <v>534.09</v>
      </c>
      <c r="P23" s="45" t="s">
        <v>53</v>
      </c>
    </row>
    <row r="24" ht="34.75" spans="1:16">
      <c r="A24" s="33"/>
      <c r="B24" s="46" t="s">
        <v>54</v>
      </c>
      <c r="C24" s="47">
        <v>96.29</v>
      </c>
      <c r="D24" s="20" t="s">
        <v>18</v>
      </c>
      <c r="E24" s="27"/>
      <c r="F24" s="48" t="s">
        <v>55</v>
      </c>
      <c r="G24" s="47">
        <v>4.59</v>
      </c>
      <c r="H24" s="49" t="s">
        <v>56</v>
      </c>
      <c r="I24" s="27"/>
      <c r="J24" s="46" t="s">
        <v>57</v>
      </c>
      <c r="K24" s="47">
        <v>4.12</v>
      </c>
      <c r="L24" s="20" t="s">
        <v>58</v>
      </c>
      <c r="M24" s="42" t="s">
        <v>59</v>
      </c>
      <c r="N24" s="43" t="s">
        <v>50</v>
      </c>
      <c r="O24" s="44">
        <v>87.06</v>
      </c>
      <c r="P24" s="45" t="s">
        <v>49</v>
      </c>
    </row>
    <row r="25" ht="19.1" customHeight="1" spans="1:16">
      <c r="A25" s="4" t="s">
        <v>60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88" customHeight="1" spans="1:16">
      <c r="A26" s="50" t="s">
        <v>61</v>
      </c>
      <c r="B26" s="51"/>
      <c r="C26" s="52" t="s">
        <v>62</v>
      </c>
      <c r="D26" s="52"/>
      <c r="E26" s="52" t="s">
        <v>63</v>
      </c>
      <c r="F26" s="52" t="s">
        <v>64</v>
      </c>
      <c r="G26" s="52" t="s">
        <v>65</v>
      </c>
      <c r="H26" s="52" t="s">
        <v>66</v>
      </c>
      <c r="I26" s="52" t="s">
        <v>67</v>
      </c>
      <c r="J26" s="53" t="s">
        <v>68</v>
      </c>
      <c r="K26" s="52" t="s">
        <v>69</v>
      </c>
      <c r="L26" s="52" t="s">
        <v>70</v>
      </c>
      <c r="M26" s="52" t="s">
        <v>71</v>
      </c>
      <c r="N26" s="52" t="s">
        <v>72</v>
      </c>
      <c r="O26" s="52" t="s">
        <v>73</v>
      </c>
      <c r="P26" s="54" t="s">
        <v>74</v>
      </c>
    </row>
    <row r="27" ht="71" customHeight="1" spans="1:16">
      <c r="A27" s="55" t="s">
        <v>75</v>
      </c>
      <c r="B27" s="55"/>
      <c r="C27" s="56">
        <v>1921.14</v>
      </c>
      <c r="D27" s="56"/>
      <c r="E27" s="56">
        <v>62.21</v>
      </c>
      <c r="F27" s="56" t="s">
        <v>76</v>
      </c>
      <c r="G27" s="56">
        <v>1.22</v>
      </c>
      <c r="H27" s="57">
        <v>314.37</v>
      </c>
      <c r="I27" s="57">
        <v>32.66</v>
      </c>
      <c r="J27" s="58">
        <v>9.72</v>
      </c>
      <c r="K27" s="57">
        <v>13.97</v>
      </c>
      <c r="L27" s="57">
        <v>4.14</v>
      </c>
      <c r="M27" s="57">
        <v>50.77</v>
      </c>
      <c r="N27" s="57">
        <v>96.29</v>
      </c>
      <c r="O27" s="59">
        <v>96.02</v>
      </c>
      <c r="P27" s="60">
        <v>3.15</v>
      </c>
    </row>
    <row r="28" ht="18" customHeight="1" spans="1:16">
      <c r="A28" s="61" t="s">
        <v>77</v>
      </c>
      <c r="B28" s="61"/>
      <c r="C28" s="56">
        <v>87.08</v>
      </c>
      <c r="D28" s="56"/>
      <c r="E28" s="57">
        <v>64.19</v>
      </c>
      <c r="F28" s="57">
        <v>1028.08</v>
      </c>
      <c r="G28" s="57">
        <v>0.95</v>
      </c>
      <c r="H28" s="56">
        <v>10.57</v>
      </c>
      <c r="I28" s="57"/>
      <c r="J28" s="62"/>
      <c r="K28" s="63"/>
      <c r="L28" s="57"/>
      <c r="M28" s="57"/>
      <c r="N28" s="63"/>
      <c r="O28" s="57"/>
      <c r="P28" s="64"/>
    </row>
    <row r="29" ht="18" customHeight="1" spans="1:16">
      <c r="A29" s="55" t="s">
        <v>78</v>
      </c>
      <c r="B29" s="55"/>
      <c r="C29" s="56">
        <v>1320</v>
      </c>
      <c r="D29" s="56"/>
      <c r="E29" s="57">
        <v>295.07</v>
      </c>
      <c r="F29" s="57">
        <v>4200</v>
      </c>
      <c r="G29" s="57">
        <v>0</v>
      </c>
      <c r="H29" s="56">
        <v>0</v>
      </c>
      <c r="I29" s="65">
        <f>I32/(I32+H32)</f>
        <v>0.160094173042966</v>
      </c>
      <c r="J29" s="62"/>
      <c r="K29" s="63"/>
      <c r="L29" s="57"/>
      <c r="M29" s="57"/>
      <c r="N29" s="66"/>
      <c r="O29" s="57"/>
      <c r="P29" s="64"/>
    </row>
    <row r="30" ht="36" customHeight="1" spans="1:16">
      <c r="A30" s="61" t="s">
        <v>79</v>
      </c>
      <c r="B30" s="61"/>
      <c r="C30" s="56" t="s">
        <v>80</v>
      </c>
      <c r="D30" s="56"/>
      <c r="E30" s="56">
        <v>60.4</v>
      </c>
      <c r="F30" s="56" t="s">
        <v>81</v>
      </c>
      <c r="G30" s="56">
        <v>1.08</v>
      </c>
      <c r="H30" s="57">
        <v>73.78</v>
      </c>
      <c r="I30" s="57">
        <v>10.15</v>
      </c>
      <c r="J30" s="62">
        <v>10.81</v>
      </c>
      <c r="K30" s="57">
        <v>0.08</v>
      </c>
      <c r="L30" s="57">
        <v>0</v>
      </c>
      <c r="M30" s="57">
        <v>10.23</v>
      </c>
      <c r="N30" s="57">
        <v>99.958641962678</v>
      </c>
      <c r="O30" s="67">
        <v>99.95</v>
      </c>
      <c r="P30" s="64">
        <v>0.6035</v>
      </c>
    </row>
    <row r="31" ht="18" customHeight="1" spans="1:16">
      <c r="A31" s="68"/>
      <c r="B31" s="69" t="s">
        <v>82</v>
      </c>
      <c r="C31" s="39" t="s">
        <v>83</v>
      </c>
      <c r="D31" s="39"/>
      <c r="E31" s="39">
        <v>44.66</v>
      </c>
      <c r="F31" s="66">
        <v>1170.4</v>
      </c>
      <c r="G31" s="66">
        <v>0.81</v>
      </c>
      <c r="H31" s="66">
        <v>16.4</v>
      </c>
      <c r="I31" s="66">
        <v>0.31</v>
      </c>
      <c r="J31" s="70">
        <v>2</v>
      </c>
      <c r="K31" s="66">
        <v>0</v>
      </c>
      <c r="L31" s="66">
        <v>0</v>
      </c>
      <c r="M31" s="66">
        <v>0.31</v>
      </c>
      <c r="N31" s="66">
        <v>100</v>
      </c>
      <c r="O31" s="71">
        <v>99.98</v>
      </c>
      <c r="P31" s="72"/>
    </row>
    <row r="32" ht="18" customHeight="1" spans="1:16">
      <c r="A32" s="68"/>
      <c r="B32" s="69" t="s">
        <v>84</v>
      </c>
      <c r="C32" s="39" t="s">
        <v>85</v>
      </c>
      <c r="D32" s="39"/>
      <c r="E32" s="39">
        <v>68.39</v>
      </c>
      <c r="F32" s="66">
        <v>1188.4</v>
      </c>
      <c r="G32" s="66">
        <v>1.58</v>
      </c>
      <c r="H32" s="66">
        <v>14.27</v>
      </c>
      <c r="I32" s="66">
        <v>2.72</v>
      </c>
      <c r="J32" s="70">
        <v>12.97</v>
      </c>
      <c r="K32" s="66">
        <v>0.04</v>
      </c>
      <c r="L32" s="66">
        <v>0</v>
      </c>
      <c r="M32" s="66">
        <v>2.76</v>
      </c>
      <c r="N32" s="66">
        <v>99.8846153846154</v>
      </c>
      <c r="O32" s="71">
        <v>99.82</v>
      </c>
      <c r="P32" s="72">
        <v>0.13</v>
      </c>
    </row>
    <row r="33" ht="36" customHeight="1" spans="1:16">
      <c r="A33" s="68"/>
      <c r="B33" s="69" t="s">
        <v>86</v>
      </c>
      <c r="C33" s="39" t="s">
        <v>87</v>
      </c>
      <c r="D33" s="39"/>
      <c r="E33" s="39">
        <v>65.54</v>
      </c>
      <c r="F33" s="66">
        <v>1168.8</v>
      </c>
      <c r="G33" s="66">
        <v>1.24</v>
      </c>
      <c r="H33" s="66">
        <v>17.36</v>
      </c>
      <c r="I33" s="66">
        <v>2.59</v>
      </c>
      <c r="J33" s="70">
        <v>13.22</v>
      </c>
      <c r="K33" s="66">
        <v>0</v>
      </c>
      <c r="L33" s="73">
        <v>0</v>
      </c>
      <c r="M33" s="66">
        <v>2.59</v>
      </c>
      <c r="N33" s="66">
        <v>99.9993333333333</v>
      </c>
      <c r="O33" s="71">
        <v>100</v>
      </c>
      <c r="P33" s="72">
        <v>0.19</v>
      </c>
    </row>
    <row r="34" ht="36" customHeight="1" spans="1:16">
      <c r="A34" s="68"/>
      <c r="B34" s="69" t="s">
        <v>88</v>
      </c>
      <c r="C34" s="39" t="s">
        <v>89</v>
      </c>
      <c r="D34" s="39"/>
      <c r="E34" s="39">
        <v>67.87</v>
      </c>
      <c r="F34" s="66">
        <v>1150.1</v>
      </c>
      <c r="G34" s="66">
        <v>1.06</v>
      </c>
      <c r="H34" s="66">
        <v>23.73</v>
      </c>
      <c r="I34" s="66">
        <v>4.53</v>
      </c>
      <c r="J34" s="70">
        <v>12.97</v>
      </c>
      <c r="K34" s="66">
        <v>0.04</v>
      </c>
      <c r="L34" s="66">
        <v>0</v>
      </c>
      <c r="M34" s="66">
        <v>4.57</v>
      </c>
      <c r="N34" s="66">
        <v>99.9209635416667</v>
      </c>
      <c r="O34" s="71">
        <v>99.98</v>
      </c>
      <c r="P34" s="72">
        <v>0.2835</v>
      </c>
    </row>
    <row r="35" ht="36" customHeight="1" spans="1:16">
      <c r="A35" s="68"/>
      <c r="B35" s="69" t="s">
        <v>90</v>
      </c>
      <c r="C35" s="39" t="s">
        <v>91</v>
      </c>
      <c r="D35" s="39"/>
      <c r="E35" s="39">
        <v>67.91</v>
      </c>
      <c r="F35" s="66">
        <v>1046.8948</v>
      </c>
      <c r="G35" s="66">
        <v>0.9</v>
      </c>
      <c r="H35" s="66">
        <v>1.06</v>
      </c>
      <c r="I35" s="66"/>
      <c r="J35" s="70"/>
      <c r="K35" s="66"/>
      <c r="L35" s="66"/>
      <c r="M35" s="66"/>
      <c r="N35" s="66"/>
      <c r="O35" s="71"/>
      <c r="P35" s="72"/>
    </row>
    <row r="36" ht="36" customHeight="1" spans="1:16">
      <c r="A36" s="68"/>
      <c r="B36" s="69" t="s">
        <v>92</v>
      </c>
      <c r="C36" s="39" t="s">
        <v>93</v>
      </c>
      <c r="D36" s="39"/>
      <c r="E36" s="39">
        <v>60.13</v>
      </c>
      <c r="F36" s="66">
        <v>1013.6728</v>
      </c>
      <c r="G36" s="66">
        <v>0.76</v>
      </c>
      <c r="H36" s="66">
        <v>0.96</v>
      </c>
      <c r="I36" s="74">
        <f>I39/(H39+I39)</f>
        <v>0.056710775047259</v>
      </c>
      <c r="J36" s="70"/>
      <c r="K36" s="66"/>
      <c r="L36" s="66"/>
      <c r="M36" s="66"/>
      <c r="N36" s="66"/>
      <c r="O36" s="71"/>
      <c r="P36" s="72"/>
    </row>
    <row r="37" ht="53" customHeight="1" spans="1:16">
      <c r="A37" s="75" t="s">
        <v>94</v>
      </c>
      <c r="B37" s="75"/>
      <c r="C37" s="56" t="s">
        <v>95</v>
      </c>
      <c r="D37" s="56"/>
      <c r="E37" s="56">
        <v>70.2</v>
      </c>
      <c r="F37" s="56" t="s">
        <v>96</v>
      </c>
      <c r="G37" s="56">
        <v>1.56</v>
      </c>
      <c r="H37" s="57">
        <v>84.71</v>
      </c>
      <c r="I37" s="57">
        <v>6.71</v>
      </c>
      <c r="J37" s="62">
        <v>7.74</v>
      </c>
      <c r="K37" s="57">
        <v>0.14</v>
      </c>
      <c r="L37" s="57">
        <v>1.26</v>
      </c>
      <c r="M37" s="57">
        <v>8.11</v>
      </c>
      <c r="N37" s="57">
        <v>99.4447501551466</v>
      </c>
      <c r="O37" s="67">
        <v>95.83</v>
      </c>
      <c r="P37" s="64">
        <v>0.504</v>
      </c>
    </row>
    <row r="38" ht="36" customHeight="1" spans="1:16">
      <c r="A38" s="68"/>
      <c r="B38" s="69" t="s">
        <v>97</v>
      </c>
      <c r="C38" s="39" t="s">
        <v>98</v>
      </c>
      <c r="D38" s="39"/>
      <c r="E38" s="39">
        <v>70.7</v>
      </c>
      <c r="F38" s="66">
        <v>1183.7</v>
      </c>
      <c r="G38" s="66">
        <v>0.91</v>
      </c>
      <c r="H38" s="66">
        <v>12.6</v>
      </c>
      <c r="I38" s="66">
        <v>1.44</v>
      </c>
      <c r="J38" s="70">
        <v>9.52</v>
      </c>
      <c r="K38" s="66">
        <v>0.04</v>
      </c>
      <c r="L38" s="66">
        <v>0</v>
      </c>
      <c r="M38" s="66">
        <v>1.48</v>
      </c>
      <c r="N38" s="66">
        <v>99.82</v>
      </c>
      <c r="O38" s="71">
        <v>99.69</v>
      </c>
      <c r="P38" s="72">
        <v>0.189</v>
      </c>
    </row>
    <row r="39" ht="36" customHeight="1" spans="1:16">
      <c r="A39" s="68"/>
      <c r="B39" s="69" t="s">
        <v>99</v>
      </c>
      <c r="C39" s="39" t="s">
        <v>100</v>
      </c>
      <c r="D39" s="39"/>
      <c r="E39" s="39">
        <v>59.94</v>
      </c>
      <c r="F39" s="66">
        <v>1179.4</v>
      </c>
      <c r="G39" s="66">
        <v>0.88</v>
      </c>
      <c r="H39" s="76">
        <v>19.96</v>
      </c>
      <c r="I39" s="76">
        <v>1.2</v>
      </c>
      <c r="J39" s="70">
        <v>3.77</v>
      </c>
      <c r="K39" s="76">
        <v>0.1</v>
      </c>
      <c r="L39" s="66">
        <v>0</v>
      </c>
      <c r="M39" s="66">
        <v>1.3</v>
      </c>
      <c r="N39" s="76">
        <v>99.750993343574</v>
      </c>
      <c r="O39" s="71">
        <v>98.69</v>
      </c>
      <c r="P39" s="72">
        <v>0.315</v>
      </c>
    </row>
    <row r="40" ht="18" customHeight="1" spans="1:16">
      <c r="A40" s="68"/>
      <c r="B40" s="69" t="s">
        <v>101</v>
      </c>
      <c r="C40" s="39" t="s">
        <v>102</v>
      </c>
      <c r="D40" s="39"/>
      <c r="E40" s="39">
        <v>97.2</v>
      </c>
      <c r="F40" s="66">
        <v>2030</v>
      </c>
      <c r="G40" s="66">
        <v>4.47</v>
      </c>
      <c r="H40" s="66">
        <v>44.73</v>
      </c>
      <c r="I40" s="66">
        <v>4.07</v>
      </c>
      <c r="J40" s="70">
        <v>8.38</v>
      </c>
      <c r="K40" s="66">
        <v>0</v>
      </c>
      <c r="L40" s="66">
        <v>1.26</v>
      </c>
      <c r="M40" s="66">
        <v>5.33</v>
      </c>
      <c r="N40" s="66">
        <v>98.2309357309357</v>
      </c>
      <c r="O40" s="71">
        <v>87.7</v>
      </c>
      <c r="P40" s="72"/>
    </row>
    <row r="41" ht="36" customHeight="1" spans="1:16">
      <c r="A41" s="68"/>
      <c r="B41" s="69" t="s">
        <v>103</v>
      </c>
      <c r="C41" s="39" t="s">
        <v>104</v>
      </c>
      <c r="D41" s="39"/>
      <c r="E41" s="39">
        <v>61.87</v>
      </c>
      <c r="F41" s="66">
        <v>1010.2</v>
      </c>
      <c r="G41" s="66">
        <v>1.07</v>
      </c>
      <c r="H41" s="66">
        <v>4.62</v>
      </c>
      <c r="I41" s="66">
        <v>0</v>
      </c>
      <c r="J41" s="70">
        <v>0</v>
      </c>
      <c r="K41" s="66">
        <v>0</v>
      </c>
      <c r="L41" s="66">
        <v>0</v>
      </c>
      <c r="M41" s="66">
        <v>0</v>
      </c>
      <c r="N41" s="66">
        <v>100</v>
      </c>
      <c r="O41" s="71">
        <v>97.24</v>
      </c>
      <c r="P41" s="72"/>
    </row>
    <row r="42" ht="36" customHeight="1" spans="1:16">
      <c r="A42" s="68"/>
      <c r="B42" s="69" t="s">
        <v>105</v>
      </c>
      <c r="C42" s="39" t="s">
        <v>106</v>
      </c>
      <c r="D42" s="39"/>
      <c r="E42" s="39">
        <v>70.95</v>
      </c>
      <c r="F42" s="66">
        <v>1055.0582</v>
      </c>
      <c r="G42" s="66">
        <v>0.57</v>
      </c>
      <c r="H42" s="66">
        <v>1.09</v>
      </c>
      <c r="I42" s="66"/>
      <c r="J42" s="70"/>
      <c r="K42" s="66"/>
      <c r="L42" s="66"/>
      <c r="M42" s="57"/>
      <c r="N42" s="66"/>
      <c r="O42" s="71"/>
      <c r="P42" s="72"/>
    </row>
    <row r="43" ht="36" customHeight="1" spans="1:16">
      <c r="A43" s="68"/>
      <c r="B43" s="69" t="s">
        <v>107</v>
      </c>
      <c r="C43" s="39" t="s">
        <v>108</v>
      </c>
      <c r="D43" s="39"/>
      <c r="E43" s="39">
        <v>63.2</v>
      </c>
      <c r="F43" s="66">
        <v>1032.8514</v>
      </c>
      <c r="G43" s="66">
        <v>1.13</v>
      </c>
      <c r="H43" s="66">
        <v>1.71</v>
      </c>
      <c r="I43" s="66"/>
      <c r="J43" s="70"/>
      <c r="K43" s="66"/>
      <c r="L43" s="66"/>
      <c r="M43" s="57"/>
      <c r="N43" s="66"/>
      <c r="O43" s="71"/>
      <c r="P43" s="72"/>
    </row>
    <row r="44" ht="53" customHeight="1" spans="1:16">
      <c r="A44" s="75" t="s">
        <v>109</v>
      </c>
      <c r="B44" s="77"/>
      <c r="C44" s="56" t="s">
        <v>110</v>
      </c>
      <c r="D44" s="56"/>
      <c r="E44" s="56">
        <v>54.55</v>
      </c>
      <c r="F44" s="56" t="s">
        <v>111</v>
      </c>
      <c r="G44" s="56">
        <v>1.24</v>
      </c>
      <c r="H44" s="57">
        <v>84.36</v>
      </c>
      <c r="I44" s="57">
        <v>6.2</v>
      </c>
      <c r="J44" s="62">
        <v>9.2</v>
      </c>
      <c r="K44" s="57">
        <v>5.85</v>
      </c>
      <c r="L44" s="57">
        <v>2.67</v>
      </c>
      <c r="M44" s="57">
        <v>14.72</v>
      </c>
      <c r="N44" s="57">
        <v>94.7341927468375</v>
      </c>
      <c r="O44" s="67">
        <v>95.87</v>
      </c>
      <c r="P44" s="64">
        <v>0.91</v>
      </c>
    </row>
    <row r="45" ht="18" customHeight="1" spans="1:16">
      <c r="A45" s="68"/>
      <c r="B45" s="69" t="s">
        <v>112</v>
      </c>
      <c r="C45" s="39" t="s">
        <v>113</v>
      </c>
      <c r="D45" s="39"/>
      <c r="E45" s="39">
        <v>59.67</v>
      </c>
      <c r="F45" s="66">
        <v>1184.6</v>
      </c>
      <c r="G45" s="66">
        <v>1.47</v>
      </c>
      <c r="H45" s="66">
        <v>13.25</v>
      </c>
      <c r="I45" s="66">
        <v>0.14</v>
      </c>
      <c r="J45" s="70">
        <v>12.97</v>
      </c>
      <c r="K45" s="66">
        <v>0.01</v>
      </c>
      <c r="L45" s="66">
        <v>0</v>
      </c>
      <c r="M45" s="66">
        <v>0.15</v>
      </c>
      <c r="N45" s="66">
        <v>99.9846153846154</v>
      </c>
      <c r="O45" s="71">
        <v>99.96</v>
      </c>
      <c r="P45" s="72">
        <v>0.13</v>
      </c>
    </row>
    <row r="46" ht="36" customHeight="1" spans="1:16">
      <c r="A46" s="68"/>
      <c r="B46" s="69" t="s">
        <v>114</v>
      </c>
      <c r="C46" s="39" t="s">
        <v>115</v>
      </c>
      <c r="D46" s="39"/>
      <c r="E46" s="39">
        <v>44.22</v>
      </c>
      <c r="F46" s="66">
        <v>1181.2</v>
      </c>
      <c r="G46" s="66">
        <v>0.97</v>
      </c>
      <c r="H46" s="66">
        <v>13.44</v>
      </c>
      <c r="I46" s="66">
        <v>1.45</v>
      </c>
      <c r="J46" s="70">
        <v>10.24</v>
      </c>
      <c r="K46" s="66">
        <v>0.01</v>
      </c>
      <c r="L46" s="66">
        <v>0</v>
      </c>
      <c r="M46" s="66">
        <v>1.46</v>
      </c>
      <c r="N46" s="66">
        <v>99.9849166666667</v>
      </c>
      <c r="O46" s="71">
        <v>99.84</v>
      </c>
      <c r="P46" s="72">
        <v>0.19</v>
      </c>
    </row>
    <row r="47" ht="18" customHeight="1" spans="1:16">
      <c r="A47" s="68"/>
      <c r="B47" s="69" t="s">
        <v>116</v>
      </c>
      <c r="C47" s="39" t="s">
        <v>117</v>
      </c>
      <c r="D47" s="39"/>
      <c r="E47" s="39">
        <v>56.08</v>
      </c>
      <c r="F47" s="66">
        <v>1177.4</v>
      </c>
      <c r="G47" s="66">
        <v>1.25</v>
      </c>
      <c r="H47" s="66">
        <v>8.72</v>
      </c>
      <c r="I47" s="66">
        <v>0.79</v>
      </c>
      <c r="J47" s="70">
        <v>8.42</v>
      </c>
      <c r="K47" s="66">
        <v>0.01</v>
      </c>
      <c r="L47" s="66">
        <v>0</v>
      </c>
      <c r="M47" s="66">
        <v>0.8</v>
      </c>
      <c r="N47" s="66">
        <v>99.9633333333333</v>
      </c>
      <c r="O47" s="71">
        <v>99.99</v>
      </c>
      <c r="P47" s="72">
        <v>0.09</v>
      </c>
    </row>
    <row r="48" ht="36" customHeight="1" spans="1:16">
      <c r="A48" s="68"/>
      <c r="B48" s="69" t="s">
        <v>118</v>
      </c>
      <c r="C48" s="39" t="s">
        <v>119</v>
      </c>
      <c r="D48" s="39"/>
      <c r="E48" s="39">
        <v>52.16</v>
      </c>
      <c r="F48" s="66">
        <v>1172.8</v>
      </c>
      <c r="G48" s="66">
        <v>1.06</v>
      </c>
      <c r="H48" s="66">
        <v>20.58</v>
      </c>
      <c r="I48" s="66">
        <v>0</v>
      </c>
      <c r="J48" s="70">
        <v>0</v>
      </c>
      <c r="K48" s="66">
        <v>0</v>
      </c>
      <c r="L48" s="66">
        <v>0</v>
      </c>
      <c r="M48" s="66">
        <v>0</v>
      </c>
      <c r="N48" s="66">
        <v>100</v>
      </c>
      <c r="O48" s="71">
        <v>100</v>
      </c>
      <c r="P48" s="72">
        <v>0.25</v>
      </c>
    </row>
    <row r="49" ht="18" customHeight="1" spans="1:16">
      <c r="A49" s="68"/>
      <c r="B49" s="69" t="s">
        <v>120</v>
      </c>
      <c r="C49" s="39" t="s">
        <v>121</v>
      </c>
      <c r="D49" s="39"/>
      <c r="E49" s="39">
        <v>54.96</v>
      </c>
      <c r="F49" s="66">
        <v>1165.2</v>
      </c>
      <c r="G49" s="66">
        <v>1.42</v>
      </c>
      <c r="H49" s="66">
        <v>17.92</v>
      </c>
      <c r="I49" s="66">
        <v>1.36</v>
      </c>
      <c r="J49" s="70">
        <v>7.38</v>
      </c>
      <c r="K49" s="66">
        <v>0</v>
      </c>
      <c r="L49" s="66">
        <v>0</v>
      </c>
      <c r="M49" s="66">
        <v>1.36</v>
      </c>
      <c r="N49" s="66">
        <v>100</v>
      </c>
      <c r="O49" s="71">
        <v>99.64</v>
      </c>
      <c r="P49" s="72">
        <v>0.16</v>
      </c>
    </row>
    <row r="50" ht="18" customHeight="1" spans="1:16">
      <c r="A50" s="68"/>
      <c r="B50" s="69" t="s">
        <v>122</v>
      </c>
      <c r="C50" s="39" t="s">
        <v>123</v>
      </c>
      <c r="D50" s="39"/>
      <c r="E50" s="39">
        <v>83.8</v>
      </c>
      <c r="F50" s="66">
        <v>2195</v>
      </c>
      <c r="G50" s="66">
        <v>1.7</v>
      </c>
      <c r="H50" s="66">
        <v>9.56</v>
      </c>
      <c r="I50" s="66">
        <v>2.46</v>
      </c>
      <c r="J50" s="70">
        <v>23.04</v>
      </c>
      <c r="K50" s="66">
        <v>5.82</v>
      </c>
      <c r="L50" s="66">
        <v>2.67</v>
      </c>
      <c r="M50" s="66">
        <v>10.95</v>
      </c>
      <c r="N50" s="66">
        <v>54.6</v>
      </c>
      <c r="O50" s="71">
        <v>75.81</v>
      </c>
      <c r="P50" s="72">
        <v>0.09</v>
      </c>
    </row>
    <row r="51" ht="36" customHeight="1" spans="1:16">
      <c r="A51" s="68"/>
      <c r="B51" s="69" t="s">
        <v>124</v>
      </c>
      <c r="C51" s="39" t="s">
        <v>125</v>
      </c>
      <c r="D51" s="39"/>
      <c r="E51" s="78">
        <v>71.15</v>
      </c>
      <c r="F51" s="66">
        <v>1053.9116</v>
      </c>
      <c r="G51" s="66">
        <v>1.47</v>
      </c>
      <c r="H51" s="66">
        <v>0.89</v>
      </c>
      <c r="I51" s="66"/>
      <c r="J51" s="70"/>
      <c r="K51" s="66"/>
      <c r="L51" s="76"/>
      <c r="M51" s="66"/>
      <c r="N51" s="66"/>
      <c r="O51" s="71"/>
      <c r="P51" s="72"/>
    </row>
    <row r="52" ht="53" customHeight="1" spans="1:16">
      <c r="A52" s="55" t="s">
        <v>126</v>
      </c>
      <c r="B52" s="55"/>
      <c r="C52" s="56" t="s">
        <v>127</v>
      </c>
      <c r="D52" s="56"/>
      <c r="E52" s="56">
        <v>181.27</v>
      </c>
      <c r="F52" s="56" t="s">
        <v>128</v>
      </c>
      <c r="G52" s="56">
        <v>4.55</v>
      </c>
      <c r="H52" s="57">
        <v>28.87</v>
      </c>
      <c r="I52" s="57">
        <v>4.44</v>
      </c>
      <c r="J52" s="62">
        <v>13.53</v>
      </c>
      <c r="K52" s="57">
        <v>0</v>
      </c>
      <c r="L52" s="57">
        <v>0</v>
      </c>
      <c r="M52" s="57">
        <v>4.44</v>
      </c>
      <c r="N52" s="57">
        <v>100</v>
      </c>
      <c r="O52" s="79">
        <v>99.36</v>
      </c>
      <c r="P52" s="64">
        <v>0.16</v>
      </c>
    </row>
    <row r="53" ht="18" customHeight="1" spans="1:16">
      <c r="A53" s="80"/>
      <c r="B53" s="81" t="s">
        <v>129</v>
      </c>
      <c r="C53" s="82" t="s">
        <v>130</v>
      </c>
      <c r="D53" s="82"/>
      <c r="E53" s="39">
        <v>188.96</v>
      </c>
      <c r="F53" s="76">
        <v>2185</v>
      </c>
      <c r="G53" s="76">
        <v>4.77</v>
      </c>
      <c r="H53" s="66">
        <v>28.63</v>
      </c>
      <c r="I53" s="66">
        <v>4.44</v>
      </c>
      <c r="J53" s="83">
        <v>13.53</v>
      </c>
      <c r="K53" s="66">
        <v>0</v>
      </c>
      <c r="L53" s="66">
        <v>0</v>
      </c>
      <c r="M53" s="66">
        <v>4.44</v>
      </c>
      <c r="N53" s="66">
        <v>100</v>
      </c>
      <c r="O53" s="84">
        <v>99.36</v>
      </c>
      <c r="P53" s="85">
        <v>0.16</v>
      </c>
    </row>
    <row r="54" ht="36" customHeight="1" spans="1:16">
      <c r="A54" s="68"/>
      <c r="B54" s="69" t="s">
        <v>131</v>
      </c>
      <c r="C54" s="39" t="s">
        <v>132</v>
      </c>
      <c r="D54" s="39"/>
      <c r="E54" s="39">
        <v>48.13</v>
      </c>
      <c r="F54" s="66">
        <v>1031.2834</v>
      </c>
      <c r="G54" s="66">
        <v>0.7</v>
      </c>
      <c r="H54" s="66">
        <v>0.24</v>
      </c>
      <c r="I54" s="66"/>
      <c r="J54" s="70"/>
      <c r="K54" s="66"/>
      <c r="L54" s="66"/>
      <c r="M54" s="57"/>
      <c r="N54" s="66"/>
      <c r="O54" s="71"/>
      <c r="P54" s="72"/>
    </row>
    <row r="55" ht="53" customHeight="1" spans="1:16">
      <c r="A55" s="61" t="s">
        <v>133</v>
      </c>
      <c r="B55" s="86"/>
      <c r="C55" s="87" t="s">
        <v>134</v>
      </c>
      <c r="D55" s="87"/>
      <c r="E55" s="56">
        <v>54.69</v>
      </c>
      <c r="F55" s="87" t="s">
        <v>135</v>
      </c>
      <c r="G55" s="87">
        <v>0.75</v>
      </c>
      <c r="H55" s="57">
        <v>53.22</v>
      </c>
      <c r="I55" s="57">
        <v>5.16</v>
      </c>
      <c r="J55" s="88">
        <v>5.54</v>
      </c>
      <c r="K55" s="57">
        <v>7.9</v>
      </c>
      <c r="L55" s="57">
        <v>0.21</v>
      </c>
      <c r="M55" s="57">
        <v>13.27</v>
      </c>
      <c r="N55" s="57">
        <v>91.4933079044118</v>
      </c>
      <c r="O55" s="89">
        <v>90.24</v>
      </c>
      <c r="P55" s="90">
        <v>0.94</v>
      </c>
    </row>
    <row r="56" ht="36" customHeight="1" spans="1:16">
      <c r="A56" s="68"/>
      <c r="B56" s="69" t="s">
        <v>136</v>
      </c>
      <c r="C56" s="39" t="s">
        <v>137</v>
      </c>
      <c r="D56" s="39"/>
      <c r="E56" s="39">
        <v>60.42</v>
      </c>
      <c r="F56" s="66">
        <v>1179.0772</v>
      </c>
      <c r="G56" s="66">
        <v>0.96</v>
      </c>
      <c r="H56" s="66">
        <v>18.9</v>
      </c>
      <c r="I56" s="66">
        <v>2.79</v>
      </c>
      <c r="J56" s="70">
        <v>13.58</v>
      </c>
      <c r="K56" s="66">
        <v>0</v>
      </c>
      <c r="L56" s="66">
        <v>0</v>
      </c>
      <c r="M56" s="66">
        <v>2.79</v>
      </c>
      <c r="N56" s="66">
        <v>99.9933333333333</v>
      </c>
      <c r="O56" s="71">
        <v>99.96</v>
      </c>
      <c r="P56" s="72">
        <v>0.28</v>
      </c>
    </row>
    <row r="57" ht="36" customHeight="1" spans="1:16">
      <c r="A57" s="68"/>
      <c r="B57" s="69" t="s">
        <v>138</v>
      </c>
      <c r="C57" s="39" t="s">
        <v>139</v>
      </c>
      <c r="D57" s="39"/>
      <c r="E57" s="39">
        <v>48.6</v>
      </c>
      <c r="F57" s="66">
        <v>1177.71172</v>
      </c>
      <c r="G57" s="66">
        <v>0.63</v>
      </c>
      <c r="H57" s="66">
        <v>29.75</v>
      </c>
      <c r="I57" s="66">
        <v>0</v>
      </c>
      <c r="J57" s="70">
        <v>0</v>
      </c>
      <c r="K57" s="66">
        <v>7.9</v>
      </c>
      <c r="L57" s="66">
        <v>0</v>
      </c>
      <c r="M57" s="66">
        <v>7.9</v>
      </c>
      <c r="N57" s="66">
        <v>87.1935271428571</v>
      </c>
      <c r="O57" s="71">
        <v>87.41</v>
      </c>
      <c r="P57" s="72">
        <v>0.66</v>
      </c>
    </row>
    <row r="58" ht="19.1" customHeight="1" spans="1:16">
      <c r="A58" s="91"/>
      <c r="B58" s="92" t="s">
        <v>140</v>
      </c>
      <c r="C58" s="46" t="s">
        <v>141</v>
      </c>
      <c r="D58" s="46"/>
      <c r="E58" s="93">
        <v>94.1</v>
      </c>
      <c r="F58" s="93">
        <v>1839</v>
      </c>
      <c r="G58" s="93">
        <v>1.04</v>
      </c>
      <c r="H58" s="93">
        <v>4.57</v>
      </c>
      <c r="I58" s="93">
        <v>2.37</v>
      </c>
      <c r="J58" s="94">
        <v>36.11</v>
      </c>
      <c r="K58" s="95">
        <v>0</v>
      </c>
      <c r="L58" s="95">
        <v>0.21</v>
      </c>
      <c r="M58" s="93">
        <v>2.58</v>
      </c>
      <c r="N58" s="93">
        <v>96.71875</v>
      </c>
      <c r="O58" s="96">
        <v>83.34</v>
      </c>
      <c r="P58" s="97"/>
    </row>
    <row r="59" spans="1:16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</row>
    <row r="60" ht="19.1" customHeight="1" spans="1:16">
      <c r="A60" s="99" t="s">
        <v>142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</row>
    <row r="61" ht="18" customHeight="1" spans="1:16">
      <c r="A61" s="100" t="s">
        <v>143</v>
      </c>
      <c r="B61" s="101"/>
      <c r="C61" s="101"/>
      <c r="D61" s="102"/>
      <c r="E61" s="103" t="s">
        <v>144</v>
      </c>
      <c r="F61" s="103"/>
      <c r="G61" s="103"/>
      <c r="H61" s="103"/>
      <c r="I61" s="103"/>
      <c r="J61" s="103"/>
      <c r="K61" s="104" t="s">
        <v>145</v>
      </c>
      <c r="L61" s="104"/>
      <c r="M61" s="104"/>
      <c r="N61" s="104"/>
      <c r="O61" s="104"/>
      <c r="P61" s="104"/>
    </row>
    <row r="62" ht="18" customHeight="1" spans="1:16">
      <c r="A62" s="105" t="s">
        <v>61</v>
      </c>
      <c r="B62" s="105"/>
      <c r="C62" s="105"/>
      <c r="D62" s="105"/>
      <c r="E62" s="106" t="s">
        <v>146</v>
      </c>
      <c r="F62" s="106"/>
      <c r="G62" s="106"/>
      <c r="H62" s="106"/>
      <c r="I62" s="106"/>
      <c r="J62" s="106"/>
      <c r="K62" s="107" t="s">
        <v>147</v>
      </c>
      <c r="L62" s="107"/>
      <c r="M62" s="107"/>
      <c r="N62" s="107"/>
      <c r="O62" s="107"/>
      <c r="P62" s="107"/>
    </row>
    <row r="63" ht="18" customHeight="1" spans="1:16">
      <c r="A63" s="108" t="s">
        <v>148</v>
      </c>
      <c r="B63" s="108"/>
      <c r="C63" s="108"/>
      <c r="D63" s="108"/>
      <c r="E63" s="109" t="s">
        <v>149</v>
      </c>
      <c r="F63" s="109"/>
      <c r="G63" s="109"/>
      <c r="H63" s="109"/>
      <c r="I63" s="109"/>
      <c r="J63" s="109"/>
      <c r="K63" s="110" t="s">
        <v>150</v>
      </c>
      <c r="L63" s="110"/>
      <c r="M63" s="110"/>
      <c r="N63" s="110"/>
      <c r="O63" s="110"/>
      <c r="P63" s="110"/>
    </row>
    <row r="64" ht="36" customHeight="1" spans="1:16">
      <c r="A64" s="111"/>
      <c r="B64" s="112" t="s">
        <v>84</v>
      </c>
      <c r="C64" s="112"/>
      <c r="D64" s="112"/>
      <c r="E64" s="113" t="s">
        <v>151</v>
      </c>
      <c r="F64" s="113"/>
      <c r="G64" s="113"/>
      <c r="H64" s="113"/>
      <c r="I64" s="113"/>
      <c r="J64" s="113"/>
      <c r="K64" s="114" t="s">
        <v>152</v>
      </c>
      <c r="L64" s="114"/>
      <c r="M64" s="114"/>
      <c r="N64" s="114"/>
      <c r="O64" s="114"/>
      <c r="P64" s="114"/>
    </row>
    <row r="65" ht="36" customHeight="1" spans="1:16">
      <c r="A65" s="115"/>
      <c r="B65" s="116" t="s">
        <v>86</v>
      </c>
      <c r="C65" s="116"/>
      <c r="D65" s="116"/>
      <c r="E65" s="117" t="s">
        <v>153</v>
      </c>
      <c r="F65" s="117"/>
      <c r="G65" s="117"/>
      <c r="H65" s="117"/>
      <c r="I65" s="117"/>
      <c r="J65" s="117"/>
      <c r="K65" s="114" t="s">
        <v>152</v>
      </c>
      <c r="L65" s="114"/>
      <c r="M65" s="114"/>
      <c r="N65" s="114"/>
      <c r="O65" s="114"/>
      <c r="P65" s="114"/>
    </row>
    <row r="66" ht="53" customHeight="1" spans="1:16">
      <c r="A66" s="118"/>
      <c r="B66" s="119" t="s">
        <v>88</v>
      </c>
      <c r="C66" s="119"/>
      <c r="D66" s="119"/>
      <c r="E66" s="113" t="s">
        <v>154</v>
      </c>
      <c r="F66" s="113"/>
      <c r="G66" s="113"/>
      <c r="H66" s="113"/>
      <c r="I66" s="113"/>
      <c r="J66" s="113"/>
      <c r="K66" s="114" t="s">
        <v>152</v>
      </c>
      <c r="L66" s="114"/>
      <c r="M66" s="114"/>
      <c r="N66" s="114"/>
      <c r="O66" s="114"/>
      <c r="P66" s="114"/>
    </row>
    <row r="67" ht="18" customHeight="1" spans="1:16">
      <c r="A67" s="120" t="s">
        <v>94</v>
      </c>
      <c r="B67" s="120"/>
      <c r="C67" s="120"/>
      <c r="D67" s="120"/>
      <c r="E67" s="106" t="s">
        <v>155</v>
      </c>
      <c r="F67" s="106"/>
      <c r="G67" s="106"/>
      <c r="H67" s="106"/>
      <c r="I67" s="106"/>
      <c r="J67" s="106"/>
      <c r="K67" s="110" t="s">
        <v>156</v>
      </c>
      <c r="L67" s="110"/>
      <c r="M67" s="110"/>
      <c r="N67" s="110"/>
      <c r="O67" s="110"/>
      <c r="P67" s="110"/>
    </row>
    <row r="68" ht="53" customHeight="1" spans="1:16">
      <c r="A68" s="118"/>
      <c r="B68" s="112" t="s">
        <v>97</v>
      </c>
      <c r="C68" s="112"/>
      <c r="D68" s="112"/>
      <c r="E68" s="117" t="s">
        <v>157</v>
      </c>
      <c r="F68" s="117"/>
      <c r="G68" s="117"/>
      <c r="H68" s="117"/>
      <c r="I68" s="117"/>
      <c r="J68" s="117"/>
      <c r="K68" s="114" t="s">
        <v>152</v>
      </c>
      <c r="L68" s="114"/>
      <c r="M68" s="114"/>
      <c r="N68" s="114"/>
      <c r="O68" s="114"/>
      <c r="P68" s="114"/>
    </row>
    <row r="69" ht="36" customHeight="1" spans="1:16">
      <c r="A69" s="118"/>
      <c r="B69" s="112" t="s">
        <v>158</v>
      </c>
      <c r="C69" s="112"/>
      <c r="D69" s="112"/>
      <c r="E69" s="117" t="s">
        <v>159</v>
      </c>
      <c r="F69" s="117"/>
      <c r="G69" s="117"/>
      <c r="H69" s="117"/>
      <c r="I69" s="117"/>
      <c r="J69" s="117"/>
      <c r="K69" s="114" t="s">
        <v>152</v>
      </c>
      <c r="L69" s="114"/>
      <c r="M69" s="114"/>
      <c r="N69" s="114"/>
      <c r="O69" s="114"/>
      <c r="P69" s="114"/>
    </row>
    <row r="70" ht="36" customHeight="1" spans="1:16">
      <c r="A70" s="120"/>
      <c r="B70" s="112" t="s">
        <v>101</v>
      </c>
      <c r="C70" s="121"/>
      <c r="D70" s="121"/>
      <c r="E70" s="113" t="s">
        <v>152</v>
      </c>
      <c r="F70" s="113"/>
      <c r="G70" s="113"/>
      <c r="H70" s="113"/>
      <c r="I70" s="113"/>
      <c r="J70" s="113"/>
      <c r="K70" s="114" t="s">
        <v>160</v>
      </c>
      <c r="L70" s="114"/>
      <c r="M70" s="114"/>
      <c r="N70" s="114"/>
      <c r="O70" s="114"/>
      <c r="P70" s="114"/>
    </row>
    <row r="71" ht="18" customHeight="1" spans="1:16">
      <c r="A71" s="120" t="s">
        <v>109</v>
      </c>
      <c r="B71" s="120"/>
      <c r="C71" s="120"/>
      <c r="D71" s="120"/>
      <c r="E71" s="106" t="s">
        <v>161</v>
      </c>
      <c r="F71" s="106"/>
      <c r="G71" s="106"/>
      <c r="H71" s="106"/>
      <c r="I71" s="106"/>
      <c r="J71" s="106"/>
      <c r="K71" s="107" t="s">
        <v>162</v>
      </c>
      <c r="L71" s="107"/>
      <c r="M71" s="107"/>
      <c r="N71" s="107"/>
      <c r="O71" s="107"/>
      <c r="P71" s="107"/>
    </row>
    <row r="72" ht="36" customHeight="1" spans="1:16">
      <c r="A72" s="111"/>
      <c r="B72" s="112" t="s">
        <v>112</v>
      </c>
      <c r="C72" s="112"/>
      <c r="D72" s="112"/>
      <c r="E72" s="117" t="s">
        <v>163</v>
      </c>
      <c r="F72" s="117"/>
      <c r="G72" s="117"/>
      <c r="H72" s="117"/>
      <c r="I72" s="117"/>
      <c r="J72" s="117"/>
      <c r="K72" s="114" t="s">
        <v>152</v>
      </c>
      <c r="L72" s="114"/>
      <c r="M72" s="114"/>
      <c r="N72" s="114"/>
      <c r="O72" s="114"/>
      <c r="P72" s="114"/>
    </row>
    <row r="73" ht="36" customHeight="1" spans="1:16">
      <c r="A73" s="111"/>
      <c r="B73" s="112" t="s">
        <v>164</v>
      </c>
      <c r="C73" s="112"/>
      <c r="D73" s="112"/>
      <c r="E73" s="113" t="s">
        <v>165</v>
      </c>
      <c r="F73" s="113"/>
      <c r="G73" s="113"/>
      <c r="H73" s="113"/>
      <c r="I73" s="113"/>
      <c r="J73" s="113"/>
      <c r="K73" s="114" t="s">
        <v>152</v>
      </c>
      <c r="L73" s="114"/>
      <c r="M73" s="114"/>
      <c r="N73" s="114"/>
      <c r="O73" s="114"/>
      <c r="P73" s="114"/>
    </row>
    <row r="74" ht="36" customHeight="1" spans="1:16">
      <c r="A74" s="111"/>
      <c r="B74" s="112" t="s">
        <v>166</v>
      </c>
      <c r="C74" s="112"/>
      <c r="D74" s="112"/>
      <c r="E74" s="113" t="s">
        <v>167</v>
      </c>
      <c r="F74" s="113"/>
      <c r="G74" s="113"/>
      <c r="H74" s="113"/>
      <c r="I74" s="113"/>
      <c r="J74" s="113"/>
      <c r="K74" s="114" t="s">
        <v>152</v>
      </c>
      <c r="L74" s="114"/>
      <c r="M74" s="114"/>
      <c r="N74" s="114"/>
      <c r="O74" s="114"/>
      <c r="P74" s="114"/>
    </row>
    <row r="75" ht="36" customHeight="1" spans="1:16">
      <c r="A75" s="118"/>
      <c r="B75" s="112" t="s">
        <v>122</v>
      </c>
      <c r="C75" s="112"/>
      <c r="D75" s="112"/>
      <c r="E75" s="113" t="s">
        <v>168</v>
      </c>
      <c r="F75" s="113"/>
      <c r="G75" s="113"/>
      <c r="H75" s="113"/>
      <c r="I75" s="113"/>
      <c r="J75" s="113"/>
      <c r="K75" s="117" t="s">
        <v>169</v>
      </c>
      <c r="L75" s="117"/>
      <c r="M75" s="117"/>
      <c r="N75" s="117"/>
      <c r="O75" s="117"/>
      <c r="P75" s="117"/>
    </row>
    <row r="76" ht="18" customHeight="1" spans="1:16">
      <c r="A76" s="120" t="s">
        <v>133</v>
      </c>
      <c r="B76" s="120"/>
      <c r="C76" s="120"/>
      <c r="D76" s="120"/>
      <c r="E76" s="106" t="s">
        <v>170</v>
      </c>
      <c r="F76" s="106"/>
      <c r="G76" s="106"/>
      <c r="H76" s="106"/>
      <c r="I76" s="106"/>
      <c r="J76" s="106"/>
      <c r="K76" s="107" t="s">
        <v>171</v>
      </c>
      <c r="L76" s="107"/>
      <c r="M76" s="107"/>
      <c r="N76" s="107"/>
      <c r="O76" s="107"/>
      <c r="P76" s="107"/>
    </row>
    <row r="77" ht="36" customHeight="1" spans="1:16">
      <c r="A77" s="111"/>
      <c r="B77" s="112" t="s">
        <v>136</v>
      </c>
      <c r="C77" s="112"/>
      <c r="D77" s="112"/>
      <c r="E77" s="117" t="s">
        <v>172</v>
      </c>
      <c r="F77" s="117"/>
      <c r="G77" s="117"/>
      <c r="H77" s="117"/>
      <c r="I77" s="117"/>
      <c r="J77" s="117"/>
      <c r="K77" s="122" t="s">
        <v>152</v>
      </c>
      <c r="L77" s="122"/>
      <c r="M77" s="122"/>
      <c r="N77" s="122"/>
      <c r="O77" s="122"/>
      <c r="P77" s="122"/>
    </row>
    <row r="78" ht="88" customHeight="1" spans="1:16">
      <c r="A78" s="118"/>
      <c r="B78" s="112" t="s">
        <v>138</v>
      </c>
      <c r="C78" s="112"/>
      <c r="D78" s="112"/>
      <c r="E78" s="123" t="s">
        <v>173</v>
      </c>
      <c r="F78" s="123"/>
      <c r="G78" s="123"/>
      <c r="H78" s="123"/>
      <c r="I78" s="123"/>
      <c r="J78" s="123"/>
      <c r="K78" s="114" t="s">
        <v>152</v>
      </c>
      <c r="L78" s="114"/>
      <c r="M78" s="114"/>
      <c r="N78" s="114"/>
      <c r="O78" s="114"/>
      <c r="P78" s="114"/>
    </row>
    <row r="79" ht="36" customHeight="1" spans="1:16">
      <c r="A79" s="118"/>
      <c r="B79" s="112" t="s">
        <v>140</v>
      </c>
      <c r="C79" s="112"/>
      <c r="D79" s="112"/>
      <c r="E79" s="123" t="s">
        <v>152</v>
      </c>
      <c r="F79" s="123"/>
      <c r="G79" s="123"/>
      <c r="H79" s="123"/>
      <c r="I79" s="123"/>
      <c r="J79" s="123"/>
      <c r="K79" s="114" t="s">
        <v>174</v>
      </c>
      <c r="L79" s="114"/>
      <c r="M79" s="114"/>
      <c r="N79" s="114"/>
      <c r="O79" s="114"/>
      <c r="P79" s="114"/>
    </row>
    <row r="80" ht="19.1" customHeight="1" spans="1:16">
      <c r="A80" s="124" t="s">
        <v>175</v>
      </c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</row>
    <row r="81" ht="17.6" customHeight="1" spans="1:16">
      <c r="A81" s="125">
        <v>1</v>
      </c>
      <c r="B81" s="126" t="s">
        <v>176</v>
      </c>
      <c r="C81" s="127" t="s">
        <v>152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</row>
    <row r="82" ht="19.1" customHeight="1" spans="1:16">
      <c r="A82" s="128">
        <v>2</v>
      </c>
      <c r="B82" s="129" t="s">
        <v>177</v>
      </c>
      <c r="C82" s="130" t="s">
        <v>152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</row>
  </sheetData>
  <mergeCells count="113">
    <mergeCell ref="A1:P1"/>
    <mergeCell ref="O2:P2"/>
    <mergeCell ref="O3:P3"/>
    <mergeCell ref="E20:F20"/>
    <mergeCell ref="I20:J20"/>
    <mergeCell ref="M20:N20"/>
    <mergeCell ref="A21:P21"/>
    <mergeCell ref="A25:P25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C31:D31"/>
    <mergeCell ref="C32:D32"/>
    <mergeCell ref="C33:D33"/>
    <mergeCell ref="C34:D34"/>
    <mergeCell ref="C35:D35"/>
    <mergeCell ref="C36:D36"/>
    <mergeCell ref="A37:B37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A52:B52"/>
    <mergeCell ref="C52:D52"/>
    <mergeCell ref="C53:D53"/>
    <mergeCell ref="C54:D54"/>
    <mergeCell ref="C55:D55"/>
    <mergeCell ref="C56:D56"/>
    <mergeCell ref="C57:D57"/>
    <mergeCell ref="C58:D58"/>
    <mergeCell ref="A60:P60"/>
    <mergeCell ref="E61:J61"/>
    <mergeCell ref="K61:P61"/>
    <mergeCell ref="A62:D62"/>
    <mergeCell ref="E62:J62"/>
    <mergeCell ref="K62:P62"/>
    <mergeCell ref="A63:D63"/>
    <mergeCell ref="E63:J63"/>
    <mergeCell ref="K63:P63"/>
    <mergeCell ref="B64:D64"/>
    <mergeCell ref="E64:J64"/>
    <mergeCell ref="K64:P64"/>
    <mergeCell ref="B65:D65"/>
    <mergeCell ref="E65:J65"/>
    <mergeCell ref="K65:P65"/>
    <mergeCell ref="B66:D66"/>
    <mergeCell ref="E66:J66"/>
    <mergeCell ref="K66:P66"/>
    <mergeCell ref="A67:D67"/>
    <mergeCell ref="E67:J67"/>
    <mergeCell ref="K67:P67"/>
    <mergeCell ref="E68:J68"/>
    <mergeCell ref="K68:P68"/>
    <mergeCell ref="E69:J69"/>
    <mergeCell ref="K69:P69"/>
    <mergeCell ref="E70:J70"/>
    <mergeCell ref="K70:P70"/>
    <mergeCell ref="A71:D71"/>
    <mergeCell ref="E71:J71"/>
    <mergeCell ref="K71:P71"/>
    <mergeCell ref="B72:D72"/>
    <mergeCell ref="E72:J72"/>
    <mergeCell ref="K72:P72"/>
    <mergeCell ref="B73:D73"/>
    <mergeCell ref="E73:J73"/>
    <mergeCell ref="K73:P73"/>
    <mergeCell ref="B74:D74"/>
    <mergeCell ref="E74:J74"/>
    <mergeCell ref="K74:P74"/>
    <mergeCell ref="B75:D75"/>
    <mergeCell ref="E75:J75"/>
    <mergeCell ref="K75:P75"/>
    <mergeCell ref="A76:D76"/>
    <mergeCell ref="E76:J76"/>
    <mergeCell ref="K76:P76"/>
    <mergeCell ref="B77:D77"/>
    <mergeCell ref="E77:J77"/>
    <mergeCell ref="K77:P77"/>
    <mergeCell ref="B78:D78"/>
    <mergeCell ref="E78:J78"/>
    <mergeCell ref="K78:P78"/>
    <mergeCell ref="B79:D79"/>
    <mergeCell ref="E79:J79"/>
    <mergeCell ref="K79:P79"/>
    <mergeCell ref="A80:P80"/>
    <mergeCell ref="C81:P81"/>
    <mergeCell ref="C82:P82"/>
    <mergeCell ref="A4:A19"/>
    <mergeCell ref="A22:A24"/>
    <mergeCell ref="E4:E19"/>
    <mergeCell ref="E22:E24"/>
    <mergeCell ref="I4:I19"/>
    <mergeCell ref="I22:I24"/>
    <mergeCell ref="M4:M6"/>
    <mergeCell ref="M7:M9"/>
    <mergeCell ref="M10:M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yangjie</dc:creator>
  <cp:lastModifiedBy>杨杰</cp:lastModifiedBy>
  <dcterms:created xsi:type="dcterms:W3CDTF">2026-02-11T18:43:00Z</dcterms:created>
  <dcterms:modified xsi:type="dcterms:W3CDTF">2026-02-11T14:23:52Z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13FF396CDD8EB425D6EC8B6970F06030_41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