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充电逻辑" sheetId="1" r:id="rId1"/>
    <sheet name="思路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<sst xmlns="http://schemas.openxmlformats.org/spreadsheetml/2006/main" count="142" uniqueCount="68">
  <si>
    <t>储能当前出力（MW）</t>
  </si>
  <si>
    <t>调度指令值（MW）</t>
  </si>
  <si>
    <t>光伏出力（MW）</t>
  </si>
  <si>
    <t>储能充电上限（MW）</t>
  </si>
  <si>
    <t>总有功</t>
  </si>
  <si>
    <t>调节结果</t>
  </si>
  <si>
    <t>储能调节目标（MW）</t>
  </si>
  <si>
    <t>日期时间</t>
  </si>
  <si>
    <t>合并结果</t>
  </si>
  <si>
    <t>死区</t>
  </si>
  <si>
    <t>MW</t>
  </si>
  <si>
    <t>充电上限</t>
  </si>
  <si>
    <t>步长</t>
  </si>
  <si>
    <t>调节时延</t>
  </si>
  <si>
    <t>s</t>
  </si>
  <si>
    <t>SOC上限</t>
  </si>
  <si>
    <t>情况</t>
  </si>
  <si>
    <t>条件1（是否限电）</t>
  </si>
  <si>
    <t>条件2（死区）</t>
  </si>
  <si>
    <t>条件3（充电速率）</t>
  </si>
  <si>
    <t>条件4（在限值）</t>
  </si>
  <si>
    <t>结果</t>
  </si>
  <si>
    <t>情况1</t>
  </si>
  <si>
    <t>?</t>
  </si>
  <si>
    <t>E&gt;0</t>
  </si>
  <si>
    <t>操作错误！储能放电状态，转为待机。</t>
  </si>
  <si>
    <t>情况2</t>
  </si>
  <si>
    <t>调度指令 &gt; 总有功</t>
  </si>
  <si>
    <t>E=0</t>
  </si>
  <si>
    <t>不限电，无需调节</t>
  </si>
  <si>
    <t>情况3-1</t>
  </si>
  <si>
    <t>E&lt;0</t>
  </si>
  <si>
    <t>放开限电，减少储能充电</t>
  </si>
  <si>
    <t>情况3-2</t>
  </si>
  <si>
    <t>E=Emax</t>
  </si>
  <si>
    <t>情况4</t>
  </si>
  <si>
    <t>调度指令 &lt; 总有功</t>
  </si>
  <si>
    <t>死区内</t>
  </si>
  <si>
    <t>储能已达上限，无需调节</t>
  </si>
  <si>
    <t>情况5</t>
  </si>
  <si>
    <t>按步长增加储能充电（置换）</t>
  </si>
  <si>
    <t>情况6</t>
  </si>
  <si>
    <t>死区外</t>
  </si>
  <si>
    <t>储能已达上限，降低光伏出力</t>
  </si>
  <si>
    <t>情况7</t>
  </si>
  <si>
    <t>增加储能充电</t>
  </si>
  <si>
    <t>情况8</t>
  </si>
  <si>
    <t>情况9</t>
  </si>
  <si>
    <t>状态特征码</t>
  </si>
  <si>
    <t>储能调节</t>
  </si>
  <si>
    <t>E=E+步长</t>
  </si>
  <si>
    <t>E=E</t>
  </si>
  <si>
    <t>E=E-步长</t>
  </si>
  <si>
    <t>条件1</t>
  </si>
  <si>
    <t>不限电</t>
  </si>
  <si>
    <t>限电</t>
  </si>
  <si>
    <t>条件2</t>
  </si>
  <si>
    <t>置换</t>
  </si>
  <si>
    <t>不置换</t>
  </si>
  <si>
    <t>条件3</t>
  </si>
  <si>
    <t>放电状态</t>
  </si>
  <si>
    <t>待机</t>
  </si>
  <si>
    <t>非最大功率充电中</t>
  </si>
  <si>
    <t>最大功率充电</t>
  </si>
  <si>
    <t>随意</t>
  </si>
  <si>
    <t>条件4</t>
  </si>
  <si>
    <t>等于0</t>
  </si>
  <si>
    <t>上限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</si>
</sst>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7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8" borderId="10">
      <alignment vertical="center"/>
    </xf>
    <xf numFmtId="0" fontId="16" fillId="9" borderId="11">
      <alignment vertical="center"/>
    </xf>
    <xf numFmtId="0" fontId="17" fillId="9" borderId="10">
      <alignment vertical="center"/>
    </xf>
    <xf numFmtId="0" fontId="18" fillId="10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</cellStyleXfs>
  <cellXfs count="49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177" fontId="1" fillId="6" borderId="0" xfId="0" applyNumberFormat="1" applyFont="1" applyFill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38" dbFileVersion="0">
    <open main="40" threadCnt="1"/>
    <sheetInfos>
      <sheetInfo cellCmpFml="23" sheetStid="1">
        <open main="1" threadCnt="1"/>
      </sheetInfo>
      <sheetInfo cellCmpFml="15" sheetStid="5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opLeftCell="D1" workbookViewId="0">
      <selection activeCell="H1" sqref="H1"/>
    </sheetView>
  </sheetViews>
  <sheetFormatPr defaultColWidth="9" defaultRowHeight="13.5"/>
  <cols>
    <col min="1" max="3" width="18.625" style="5" customWidth="1"/>
    <col min="4" max="4" width="21.2" style="5" customWidth="1"/>
    <col min="5" max="5" width="18.625" style="5" customWidth="1"/>
    <col min="6" max="6" width="26.1083333333333" style="5" customWidth="1"/>
    <col min="7" max="7" width="21.2" style="5" customWidth="1"/>
    <col min="8" max="8" width="20.625" style="5" customWidth="1"/>
    <col min="9" max="13" width="10.625" style="5" customWidth="1"/>
    <col min="14" max="14" width="22.0666666666667" style="31" customWidth="1"/>
    <col min="15" max="15" width="9" style="31"/>
    <col min="16" max="16" width="9.85833333333333" customWidth="1"/>
    <col min="17" max="17" width="9" style="31"/>
  </cols>
  <sheetData>
    <row r="1" ht="24" spans="1:18">
      <c r="A1" s="32" t="s">
        <v>0</v>
      </c>
      <c r="B1" s="32" t="s">
        <v>1</v>
      </c>
      <c r="C1" s="32" t="s">
        <v>2</v>
      </c>
      <c r="D1" s="32" t="s">
        <v>3</v>
      </c>
      <c r="E1" s="33" t="s">
        <v>4</v>
      </c>
      <c r="F1" s="33" t="s">
        <v>5</v>
      </c>
      <c r="G1" s="33" t="s">
        <v>6</v>
      </c>
      <c r="H1" s="34" t="s">
        <v>7</v>
      </c>
      <c r="I1" s="33" t="str" cm="1">
        <f t="array" ref="I1:L1">思路!B13:E13</f>
        <v>条件1（是否限电）</v>
      </c>
      <c r="J1" s="33" t="str">
        <v>条件2（死区）</v>
      </c>
      <c r="K1" s="33" t="str">
        <v>条件3（充电速率）</v>
      </c>
      <c r="L1" s="33" t="str">
        <v>条件4（在限值）</v>
      </c>
      <c r="M1" s="33" t="s">
        <v>8</v>
      </c>
      <c r="N1" s="35" t="str">
        <f ca="1">TEXT(NOW(),"yyyy-mm-dd hh:mm:ss")</f>
        <v>2026-02-02 21:56:50</v>
      </c>
      <c r="P1" s="36"/>
      <c r="Q1" s="37"/>
      <c r="R1" s="38"/>
    </row>
    <row r="2" spans="1:18">
      <c r="A2" s="39">
        <v>-12</v>
      </c>
      <c r="B2" s="39">
        <v>63</v>
      </c>
      <c r="C2" s="39">
        <v>73</v>
      </c>
      <c r="D2" s="39">
        <v>-30</v>
      </c>
      <c r="E2" s="39">
        <f>A2+C2</f>
        <v>61</v>
      </c>
      <c r="F2" s="40" t="str" cm="1">
        <f t="array" ref="F2">INDEX(思路!$F$14:$F$22,MATCH(1,ISNUMBER(SEARCH(思路!$G$14:$G$22,M2))*1,0))</f>
        <v>放开限电，减少储能充电</v>
      </c>
      <c r="G2" s="39"/>
      <c r="H2" s="41" t="str">
        <f ca="1">$N$1</f>
        <v>2026-02-02 21:56:50</v>
      </c>
      <c r="I2" s="42">
        <f>IF(B2&gt;E2,0,1)</f>
        <v>0</v>
      </c>
      <c r="J2" s="42">
        <f>IF(ABS(B2-E2)&lt;Q2,1,0)</f>
        <v>0</v>
      </c>
      <c r="K2" s="42" cm="1">
        <f t="array" ref="K2">_xlfn.IFS(A2&gt;0,1,A2=0,2,A2=D2,4,A2&gt;D2,3,A2&lt;20,"储能超上限",TRUE,"未匹配")</f>
        <v>3</v>
      </c>
      <c r="L2" s="42">
        <f>IF(OR(A2=0,A2=D2),1,0)</f>
        <v>0</v>
      </c>
      <c r="M2" s="43" t="str">
        <f>I2&amp;J2&amp;K2&amp;L2</f>
        <v>0030</v>
      </c>
      <c r="P2" s="44" t="s">
        <v>9</v>
      </c>
      <c r="Q2" s="37">
        <v>1.2</v>
      </c>
      <c r="R2" s="45" t="s">
        <v>10</v>
      </c>
    </row>
    <row r="3" spans="1:18">
      <c r="A3" s="39"/>
      <c r="B3" s="39"/>
      <c r="C3" s="39"/>
      <c r="D3" s="39"/>
      <c r="E3" s="39"/>
      <c r="F3" s="39"/>
      <c r="G3" s="39"/>
      <c r="H3" s="41"/>
      <c r="I3" s="42"/>
      <c r="J3" s="42"/>
      <c r="K3" s="42"/>
      <c r="L3" s="42"/>
      <c r="M3" s="43"/>
      <c r="P3" s="44" t="s">
        <v>11</v>
      </c>
      <c r="Q3" s="37">
        <v>-50</v>
      </c>
      <c r="R3" s="45" t="s">
        <v>10</v>
      </c>
    </row>
    <row r="4" spans="1:18">
      <c r="A4" s="46"/>
      <c r="B4" s="46"/>
      <c r="C4" s="46"/>
      <c r="D4" s="46"/>
      <c r="E4" s="46"/>
      <c r="F4" s="39" t="str" cm="1">
        <f t="array" ref="F4">IF(H4&lt;&gt;"",_xlfn.IFS(ABS(#REF!)&lt;$Q$2,#REF!,#REF!&gt;0,#REF!,A4&gt;0,#REF!,TRUE,"未匹配"),"")</f>
        <v/>
      </c>
      <c r="G4" s="39"/>
      <c r="H4" s="47"/>
      <c r="I4" s="42"/>
      <c r="J4" s="42"/>
      <c r="K4" s="42"/>
      <c r="L4" s="42"/>
      <c r="M4" s="43"/>
      <c r="P4" s="44" t="s">
        <v>12</v>
      </c>
      <c r="Q4" s="37"/>
      <c r="R4" s="45" t="s">
        <v>10</v>
      </c>
    </row>
    <row r="5" spans="1:18">
      <c r="A5" s="46"/>
      <c r="B5" s="46"/>
      <c r="C5" s="46"/>
      <c r="D5" s="46"/>
      <c r="E5" s="46"/>
      <c r="F5" s="39" t="str" cm="1">
        <f t="array" ref="F5">IF(H5&lt;&gt;"",_xlfn.IFS(ABS(#REF!)&lt;$Q$2,#REF!,#REF!&gt;0,#REF!,A5&gt;0,#REF!,TRUE,"未匹配"),"")</f>
        <v/>
      </c>
      <c r="G5" s="39"/>
      <c r="H5" s="47"/>
      <c r="I5" s="42"/>
      <c r="J5" s="42"/>
      <c r="K5" s="42"/>
      <c r="L5" s="42"/>
      <c r="M5" s="43"/>
      <c r="P5" s="44" t="s">
        <v>13</v>
      </c>
      <c r="Q5" s="37"/>
      <c r="R5" s="45" t="s">
        <v>14</v>
      </c>
    </row>
    <row r="6" spans="1:18">
      <c r="A6" s="46"/>
      <c r="B6" s="46"/>
      <c r="C6" s="46"/>
      <c r="D6" s="46"/>
      <c r="E6" s="46"/>
      <c r="F6" s="39" t="str" cm="1">
        <f t="array" ref="F6">IF(H6&lt;&gt;"",_xlfn.IFS(ABS(#REF!)&lt;$Q$2,#REF!,#REF!&gt;0,#REF!,A6&gt;0,#REF!,TRUE,"未匹配"),"")</f>
        <v/>
      </c>
      <c r="G6" s="39"/>
      <c r="H6" s="47"/>
      <c r="I6" s="42"/>
      <c r="J6" s="42"/>
      <c r="K6" s="42"/>
      <c r="L6" s="42"/>
      <c r="M6" s="43"/>
      <c r="P6" s="44" t="s">
        <v>15</v>
      </c>
      <c r="Q6" s="48">
        <v>1</v>
      </c>
      <c r="R6" s="45"/>
    </row>
    <row r="7" spans="1:18">
      <c r="A7" s="46"/>
      <c r="B7" s="46"/>
      <c r="C7" s="46"/>
      <c r="D7" s="46"/>
      <c r="E7" s="46"/>
      <c r="F7" s="39" t="str" cm="1">
        <f t="array" ref="F7">IF(H7&lt;&gt;"",_xlfn.IFS(ABS(#REF!)&lt;$Q$2,#REF!,#REF!&gt;0,#REF!,A7&gt;0,#REF!,TRUE,"未匹配"),"")</f>
        <v/>
      </c>
      <c r="G7" s="39"/>
      <c r="H7" s="47"/>
      <c r="I7" s="42"/>
      <c r="J7" s="42"/>
      <c r="K7" s="42"/>
      <c r="L7" s="42"/>
      <c r="M7" s="43"/>
      <c r="P7" s="36"/>
      <c r="Q7" s="37"/>
      <c r="R7" s="38"/>
    </row>
    <row r="8" spans="1:18">
      <c r="A8" s="46"/>
      <c r="B8" s="46"/>
      <c r="C8" s="46"/>
      <c r="D8" s="46"/>
      <c r="E8" s="46"/>
      <c r="F8" s="39" t="str" cm="1">
        <f t="array" ref="F8">IF(H8&lt;&gt;"",_xlfn.IFS(ABS(#REF!)&lt;$Q$2,#REF!,#REF!&gt;0,#REF!,A8&gt;0,#REF!,TRUE,"未匹配"),"")</f>
        <v/>
      </c>
      <c r="G8" s="39"/>
      <c r="H8" s="47"/>
      <c r="I8" s="42"/>
      <c r="J8" s="42"/>
      <c r="K8" s="42"/>
      <c r="L8" s="42"/>
      <c r="M8" s="43"/>
      <c r="P8" s="36"/>
      <c r="Q8" s="37"/>
      <c r="R8" s="38"/>
    </row>
    <row r="9" spans="1:18">
      <c r="A9" s="46"/>
      <c r="B9" s="46"/>
      <c r="C9" s="46"/>
      <c r="D9" s="46"/>
      <c r="E9" s="46"/>
      <c r="F9" s="39" t="str" cm="1">
        <f t="array" ref="F9">IF(H9&lt;&gt;"",_xlfn.IFS(ABS(#REF!)&lt;$Q$2,#REF!,#REF!&gt;0,#REF!,A9&gt;0,#REF!,TRUE,"未匹配"),"")</f>
        <v/>
      </c>
      <c r="G9" s="39"/>
      <c r="H9" s="47"/>
      <c r="I9" s="42"/>
      <c r="J9" s="42"/>
      <c r="K9" s="42"/>
      <c r="L9" s="42"/>
      <c r="M9" s="43"/>
    </row>
    <row r="10" spans="1:18">
      <c r="A10" s="46"/>
      <c r="B10" s="46"/>
      <c r="C10" s="46"/>
      <c r="D10" s="46"/>
      <c r="E10" s="46"/>
      <c r="F10" s="39" t="str" cm="1">
        <f t="array" ref="F10">IF(H10&lt;&gt;"",_xlfn.IFS(ABS(#REF!)&lt;$Q$2,#REF!,#REF!&gt;0,#REF!,A10&gt;0,#REF!,TRUE,"未匹配"),"")</f>
        <v/>
      </c>
      <c r="G10" s="39"/>
      <c r="H10" s="47"/>
      <c r="I10" s="42"/>
      <c r="J10" s="42"/>
      <c r="K10" s="42"/>
      <c r="L10" s="42"/>
      <c r="M10" s="43"/>
    </row>
    <row r="11" spans="1:18">
      <c r="A11" s="46"/>
      <c r="B11" s="46"/>
      <c r="C11" s="46"/>
      <c r="D11" s="46"/>
      <c r="E11" s="46"/>
      <c r="F11" s="39" t="str" cm="1">
        <f t="array" ref="F11">IF(H11&lt;&gt;"",_xlfn.IFS(ABS(#REF!)&lt;$Q$2,#REF!,#REF!&gt;0,#REF!,A11&gt;0,#REF!,TRUE,"未匹配"),"")</f>
        <v/>
      </c>
      <c r="G11" s="39"/>
      <c r="H11" s="47"/>
      <c r="I11" s="42"/>
      <c r="J11" s="42"/>
      <c r="K11" s="42"/>
      <c r="L11" s="42"/>
      <c r="M11" s="43"/>
    </row>
    <row r="12" spans="1:18">
      <c r="A12" s="46"/>
      <c r="B12" s="46"/>
      <c r="C12" s="46"/>
      <c r="D12" s="46"/>
      <c r="E12" s="46"/>
      <c r="F12" s="39" t="str" cm="1">
        <f t="array" ref="F12">IF(H12&lt;&gt;"",_xlfn.IFS(ABS(#REF!)&lt;$Q$2,#REF!,#REF!&gt;0,#REF!,A12&gt;0,#REF!,TRUE,"未匹配"),"")</f>
        <v/>
      </c>
      <c r="G12" s="39"/>
      <c r="H12" s="47"/>
      <c r="I12" s="42"/>
      <c r="J12" s="42"/>
      <c r="K12" s="42"/>
      <c r="L12" s="42"/>
      <c r="M12" s="43"/>
    </row>
    <row r="13" spans="1:18">
      <c r="A13" s="46"/>
      <c r="B13" s="46"/>
      <c r="C13" s="46"/>
      <c r="D13" s="46"/>
      <c r="E13" s="46"/>
      <c r="F13" s="39" t="str" cm="1">
        <f t="array" ref="F13">IF(H13&lt;&gt;"",_xlfn.IFS(ABS(#REF!)&lt;$Q$2,#REF!,#REF!&gt;0,#REF!,A13&gt;0,#REF!,TRUE,"未匹配"),"")</f>
        <v/>
      </c>
      <c r="G13" s="39"/>
      <c r="H13" s="47"/>
      <c r="I13" s="42"/>
      <c r="J13" s="42"/>
      <c r="K13" s="42"/>
      <c r="L13" s="42"/>
      <c r="M13" s="43"/>
    </row>
    <row r="14" spans="1:18">
      <c r="A14" s="46"/>
      <c r="B14" s="46"/>
      <c r="C14" s="46"/>
      <c r="D14" s="46"/>
      <c r="E14" s="46"/>
      <c r="F14" s="39" t="str" cm="1">
        <f t="array" ref="F14">IF(H14&lt;&gt;"",_xlfn.IFS(ABS(#REF!)&lt;$Q$2,#REF!,#REF!&gt;0,#REF!,A14&gt;0,#REF!,TRUE,"未匹配"),"")</f>
        <v/>
      </c>
      <c r="G14" s="39"/>
      <c r="H14" s="47"/>
      <c r="I14" s="42"/>
      <c r="J14" s="42"/>
      <c r="K14" s="42"/>
      <c r="L14" s="42"/>
      <c r="M14" s="43"/>
    </row>
    <row r="15" spans="1:18">
      <c r="A15" s="46"/>
      <c r="B15" s="46"/>
      <c r="C15" s="46"/>
      <c r="D15" s="46"/>
      <c r="E15" s="46"/>
      <c r="F15" s="39" t="str" cm="1">
        <f t="array" ref="F15">IF(H15&lt;&gt;"",_xlfn.IFS(ABS(#REF!)&lt;$Q$2,#REF!,#REF!&gt;0,#REF!,A15&gt;0,#REF!,TRUE,"未匹配"),"")</f>
        <v/>
      </c>
      <c r="G15" s="39"/>
      <c r="H15" s="47"/>
      <c r="I15" s="42"/>
      <c r="J15" s="42"/>
      <c r="K15" s="42"/>
      <c r="L15" s="42"/>
      <c r="M15" s="43"/>
    </row>
    <row r="16" spans="1:18">
      <c r="A16" s="46"/>
      <c r="B16" s="46"/>
      <c r="C16" s="46"/>
      <c r="D16" s="46"/>
      <c r="E16" s="46"/>
      <c r="F16" s="39" t="str" cm="1">
        <f t="array" ref="F16">IF(H16&lt;&gt;"",_xlfn.IFS(ABS(#REF!)&lt;$Q$2,#REF!,#REF!&gt;0,#REF!,A16&gt;0,#REF!,TRUE,"未匹配"),"")</f>
        <v/>
      </c>
      <c r="G16" s="39"/>
      <c r="H16" s="47"/>
      <c r="I16" s="42"/>
      <c r="J16" s="42"/>
      <c r="K16" s="42"/>
      <c r="L16" s="42"/>
      <c r="M16" s="43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4"/>
  <sheetViews>
    <sheetView tabSelected="1" zoomScale="140" zoomScaleNormal="140" topLeftCell="A35" workbookViewId="0">
      <selection activeCell="A42" sqref="A35:C44"/>
    </sheetView>
  </sheetViews>
  <sheetFormatPr defaultColWidth="9" defaultRowHeight="12"/>
  <cols>
    <col min="1" max="1" width="16" style="2" customWidth="1"/>
    <col min="2" max="5" width="16.625" style="2" customWidth="1"/>
    <col min="6" max="6" width="29.5" style="2" customWidth="1"/>
    <col min="7" max="7" width="10.625" style="2" customWidth="1"/>
    <col min="8" max="8" width="16" style="5" customWidth="1"/>
    <col min="9" max="10" width="10.625" style="5" customWidth="1"/>
    <col min="11" max="11" width="10.625" style="2" customWidth="1"/>
    <col min="12" max="14" width="10.625" style="5" customWidth="1"/>
    <col min="15" max="15" width="10.625" style="2" customWidth="1"/>
    <col min="16" max="16" width="10.625" style="5" customWidth="1"/>
    <col min="17" max="17" width="14.875" style="5" customWidth="1"/>
    <col min="18" max="18" width="9" style="5"/>
    <col min="19" max="19" width="9" style="2"/>
    <col min="20" max="22" width="9" style="5"/>
    <col min="23" max="16384" width="9" style="2"/>
  </cols>
  <sheetData>
    <row r="1" spans="1:22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</row>
    <row r="2" s="1" customFormat="1" spans="1:22">
      <c r="A2" s="7" t="s">
        <v>22</v>
      </c>
      <c r="B2" s="8" t="s">
        <v>23</v>
      </c>
      <c r="C2" s="8" t="s">
        <v>23</v>
      </c>
      <c r="D2" s="8" t="s">
        <v>24</v>
      </c>
      <c r="E2" s="8" t="s">
        <v>23</v>
      </c>
      <c r="F2" s="9" t="s">
        <v>25</v>
      </c>
    </row>
    <row r="3" spans="1:22">
      <c r="A3" s="7" t="s">
        <v>26</v>
      </c>
      <c r="B3" s="10" t="s">
        <v>27</v>
      </c>
      <c r="C3" s="8" t="s">
        <v>23</v>
      </c>
      <c r="D3" s="8" t="s">
        <v>28</v>
      </c>
      <c r="E3" s="8" t="s">
        <v>23</v>
      </c>
      <c r="F3" s="11" t="s">
        <v>29</v>
      </c>
    </row>
    <row r="4" spans="1:22">
      <c r="A4" s="7" t="s">
        <v>30</v>
      </c>
      <c r="B4" s="10" t="s">
        <v>27</v>
      </c>
      <c r="C4" s="8" t="s">
        <v>23</v>
      </c>
      <c r="D4" s="12" t="s">
        <v>31</v>
      </c>
      <c r="E4" s="8" t="s">
        <v>23</v>
      </c>
      <c r="F4" s="11" t="s">
        <v>32</v>
      </c>
      <c r="T4" s="13"/>
      <c r="U4" s="13"/>
    </row>
    <row r="5" spans="1:22">
      <c r="A5" s="7" t="s">
        <v>33</v>
      </c>
      <c r="B5" s="10" t="s">
        <v>27</v>
      </c>
      <c r="C5" s="8" t="s">
        <v>23</v>
      </c>
      <c r="D5" s="8" t="s">
        <v>34</v>
      </c>
      <c r="E5" s="8" t="s">
        <v>23</v>
      </c>
      <c r="F5" s="11" t="s">
        <v>32</v>
      </c>
      <c r="U5" s="13"/>
    </row>
    <row r="6" spans="1:22">
      <c r="A6" s="7" t="s">
        <v>35</v>
      </c>
      <c r="B6" s="10" t="s">
        <v>36</v>
      </c>
      <c r="C6" s="10" t="s">
        <v>37</v>
      </c>
      <c r="D6" s="8" t="s">
        <v>34</v>
      </c>
      <c r="E6" s="8">
        <v>1</v>
      </c>
      <c r="F6" s="11" t="s">
        <v>38</v>
      </c>
      <c r="T6" s="13"/>
      <c r="U6" s="13"/>
      <c r="V6" s="13"/>
    </row>
    <row r="7" spans="1:22">
      <c r="A7" s="7" t="s">
        <v>39</v>
      </c>
      <c r="B7" s="10" t="s">
        <v>36</v>
      </c>
      <c r="C7" s="10" t="s">
        <v>37</v>
      </c>
      <c r="D7" s="12" t="s">
        <v>23</v>
      </c>
      <c r="E7" s="12" t="s">
        <v>23</v>
      </c>
      <c r="F7" s="11" t="s">
        <v>40</v>
      </c>
    </row>
    <row r="8" spans="1:22">
      <c r="A8" s="7" t="s">
        <v>41</v>
      </c>
      <c r="B8" s="10" t="s">
        <v>36</v>
      </c>
      <c r="C8" s="10" t="s">
        <v>42</v>
      </c>
      <c r="D8" s="8" t="s">
        <v>34</v>
      </c>
      <c r="E8" s="8">
        <v>1</v>
      </c>
      <c r="F8" s="11" t="s">
        <v>43</v>
      </c>
    </row>
    <row r="9" s="2" customFormat="1" spans="1:22">
      <c r="A9" s="7" t="s">
        <v>44</v>
      </c>
      <c r="B9" s="10" t="s">
        <v>36</v>
      </c>
      <c r="C9" s="10" t="s">
        <v>42</v>
      </c>
      <c r="D9" s="12" t="s">
        <v>23</v>
      </c>
      <c r="E9" s="12" t="s">
        <v>23</v>
      </c>
      <c r="F9" s="11" t="s">
        <v>45</v>
      </c>
      <c r="H9" s="5"/>
      <c r="I9" s="5"/>
      <c r="J9" s="5"/>
      <c r="L9" s="5"/>
      <c r="M9" s="5"/>
      <c r="N9" s="5"/>
      <c r="T9" s="5"/>
      <c r="U9" s="5"/>
      <c r="V9" s="5"/>
    </row>
    <row r="10" s="2" customFormat="1" spans="1:22">
      <c r="A10" s="7" t="s">
        <v>46</v>
      </c>
      <c r="B10" s="10" t="s">
        <v>36</v>
      </c>
      <c r="C10" s="10" t="s">
        <v>42</v>
      </c>
      <c r="D10" s="8" t="s">
        <v>28</v>
      </c>
      <c r="E10" s="8">
        <v>0</v>
      </c>
      <c r="F10" s="11" t="s">
        <v>45</v>
      </c>
      <c r="H10" s="5"/>
      <c r="I10" s="5"/>
      <c r="J10" s="5"/>
      <c r="L10" s="5"/>
      <c r="M10" s="5"/>
      <c r="N10" s="5"/>
      <c r="T10" s="5"/>
      <c r="U10" s="5"/>
      <c r="V10" s="5"/>
    </row>
    <row r="11" spans="1:22">
      <c r="A11" s="7" t="s">
        <v>47</v>
      </c>
      <c r="B11" s="10" t="s">
        <v>36</v>
      </c>
      <c r="C11" s="10" t="s">
        <v>42</v>
      </c>
      <c r="D11" s="12" t="s">
        <v>31</v>
      </c>
      <c r="E11" s="14" t="s">
        <v>23</v>
      </c>
      <c r="F11" s="11" t="s">
        <v>45</v>
      </c>
    </row>
    <row r="12" spans="1:22">
      <c r="C12" s="1"/>
      <c r="D12" s="1"/>
      <c r="E12" s="1"/>
      <c r="F12" s="1"/>
    </row>
    <row r="13" spans="1:22">
      <c r="A13" s="6" t="str" cm="1">
        <f t="array" ref="A13:F13">A1:F1</f>
        <v>情况</v>
      </c>
      <c r="B13" s="6" t="str">
        <v>条件1（是否限电）</v>
      </c>
      <c r="C13" s="6" t="str">
        <v>条件2（死区）</v>
      </c>
      <c r="D13" s="6" t="str">
        <v>条件3（充电速率）</v>
      </c>
      <c r="E13" s="6" t="str">
        <v>条件4（在限值）</v>
      </c>
      <c r="F13" s="6" t="str">
        <v>结果</v>
      </c>
      <c r="G13" s="15" t="s">
        <v>48</v>
      </c>
      <c r="H13" s="6" t="s">
        <v>49</v>
      </c>
    </row>
    <row r="14" spans="1:22">
      <c r="A14" s="7" t="s">
        <v>22</v>
      </c>
      <c r="B14" s="10" t="s">
        <v>23</v>
      </c>
      <c r="C14" s="10" t="s">
        <v>23</v>
      </c>
      <c r="D14" s="10">
        <f>_xlfn.XLOOKUP(D2,$A$36:$A$40,$C$36:$C$40)</f>
        <v>1</v>
      </c>
      <c r="E14" s="10" t="s">
        <v>23</v>
      </c>
      <c r="F14" s="9" t="str">
        <f t="shared" ref="F14:F23" si="0">F2</f>
        <v>操作错误！储能放电状态，转为待机。</v>
      </c>
      <c r="G14" s="16" t="str">
        <f>B14&amp;C14&amp;D14&amp;E14</f>
        <v>??1?</v>
      </c>
      <c r="H14" s="17" t="s">
        <v>28</v>
      </c>
    </row>
    <row r="15" spans="1:22">
      <c r="A15" s="7" t="s">
        <v>26</v>
      </c>
      <c r="B15" s="10">
        <v>0</v>
      </c>
      <c r="C15" s="10" t="s">
        <v>23</v>
      </c>
      <c r="D15" s="10">
        <f>_xlfn.XLOOKUP(D3,$A$36:$A$40,$C$36:$C$40)</f>
        <v>2</v>
      </c>
      <c r="E15" s="10" t="s">
        <v>23</v>
      </c>
      <c r="F15" s="9" t="str">
        <f t="shared" si="0"/>
        <v>不限电，无需调节</v>
      </c>
      <c r="G15" s="16" t="str">
        <f t="shared" ref="G15:G23" si="1">B15&amp;C15&amp;D15&amp;E15</f>
        <v>0?2?</v>
      </c>
      <c r="H15" s="17" t="s">
        <v>28</v>
      </c>
    </row>
    <row r="16" spans="1:22">
      <c r="A16" s="7" t="s">
        <v>30</v>
      </c>
      <c r="B16" s="10">
        <v>0</v>
      </c>
      <c r="C16" s="10" t="s">
        <v>23</v>
      </c>
      <c r="D16" s="10">
        <f>_xlfn.XLOOKUP(D4,$A$36:$A$40,$C$36:$C$40)</f>
        <v>3</v>
      </c>
      <c r="E16" s="10" t="s">
        <v>23</v>
      </c>
      <c r="F16" s="9" t="str">
        <f t="shared" si="0"/>
        <v>放开限电，减少储能充电</v>
      </c>
      <c r="G16" s="16" t="str">
        <f t="shared" si="1"/>
        <v>0?3?</v>
      </c>
      <c r="H16" s="17" t="s">
        <v>50</v>
      </c>
    </row>
    <row r="17" spans="1:22">
      <c r="A17" s="7" t="s">
        <v>33</v>
      </c>
      <c r="B17" s="10">
        <v>0</v>
      </c>
      <c r="C17" s="10" t="s">
        <v>23</v>
      </c>
      <c r="D17" s="10">
        <f>_xlfn.XLOOKUP(D5,$A$36:$A$40,$C$36:$C$40)</f>
        <v>4</v>
      </c>
      <c r="E17" s="10" t="s">
        <v>23</v>
      </c>
      <c r="F17" s="9" t="str">
        <f t="shared" si="0"/>
        <v>放开限电，减少储能充电</v>
      </c>
      <c r="G17" s="16" t="str">
        <f t="shared" si="1"/>
        <v>0?4?</v>
      </c>
      <c r="H17" s="17" t="s">
        <v>50</v>
      </c>
    </row>
    <row r="18" spans="1:22">
      <c r="A18" s="7" t="s">
        <v>35</v>
      </c>
      <c r="B18" s="10">
        <v>1</v>
      </c>
      <c r="C18" s="10">
        <v>1</v>
      </c>
      <c r="D18" s="10">
        <f>_xlfn.XLOOKUP(D6,$A$36:$A$40,$C$36:$C$40)</f>
        <v>4</v>
      </c>
      <c r="E18" s="10" t="s">
        <v>23</v>
      </c>
      <c r="F18" s="9" t="str">
        <f t="shared" si="0"/>
        <v>储能已达上限，无需调节</v>
      </c>
      <c r="G18" s="16" t="str">
        <f t="shared" si="1"/>
        <v>114?</v>
      </c>
      <c r="H18" s="17" t="s">
        <v>51</v>
      </c>
    </row>
    <row r="19" spans="1:22">
      <c r="A19" s="7" t="s">
        <v>39</v>
      </c>
      <c r="B19" s="10">
        <v>1</v>
      </c>
      <c r="C19" s="10">
        <v>1</v>
      </c>
      <c r="D19" s="10" t="s">
        <v>23</v>
      </c>
      <c r="E19" s="10" t="str">
        <f>E7</f>
        <v>?</v>
      </c>
      <c r="F19" s="9" t="str">
        <f t="shared" si="0"/>
        <v>按步长增加储能充电（置换）</v>
      </c>
      <c r="G19" s="16" t="str">
        <f t="shared" si="1"/>
        <v>11??</v>
      </c>
      <c r="H19" s="17" t="s">
        <v>52</v>
      </c>
    </row>
    <row r="20" spans="1:22">
      <c r="A20" s="18" t="s">
        <v>41</v>
      </c>
      <c r="B20" s="18">
        <v>1</v>
      </c>
      <c r="C20" s="18">
        <v>0</v>
      </c>
      <c r="D20" s="18">
        <f>_xlfn.XLOOKUP(D8,$A$36:$A$40,$C$36:$C$40)</f>
        <v>4</v>
      </c>
      <c r="E20" s="18">
        <f>E8</f>
        <v>1</v>
      </c>
      <c r="F20" s="19" t="str">
        <f t="shared" si="0"/>
        <v>储能已达上限，降低光伏出力</v>
      </c>
      <c r="G20" s="16" t="str">
        <f t="shared" si="1"/>
        <v>1041</v>
      </c>
      <c r="H20" s="17" t="s">
        <v>51</v>
      </c>
    </row>
    <row r="21" spans="1:22">
      <c r="A21" s="7" t="s">
        <v>44</v>
      </c>
      <c r="B21" s="10">
        <v>1</v>
      </c>
      <c r="C21" s="10">
        <v>0</v>
      </c>
      <c r="D21" s="10" t="s">
        <v>23</v>
      </c>
      <c r="E21" s="10">
        <v>0</v>
      </c>
      <c r="F21" s="9" t="str">
        <f t="shared" si="0"/>
        <v>增加储能充电</v>
      </c>
      <c r="G21" s="16" t="str">
        <f t="shared" si="1"/>
        <v>10?0</v>
      </c>
      <c r="H21" s="17" t="s">
        <v>52</v>
      </c>
    </row>
    <row r="22" s="3" customFormat="1" spans="1:22">
      <c r="A22" s="20" t="s">
        <v>46</v>
      </c>
      <c r="B22" s="21">
        <v>1</v>
      </c>
      <c r="C22" s="21">
        <v>0</v>
      </c>
      <c r="D22" s="21">
        <f>_xlfn.XLOOKUP(D10,$A$36:$A$40,$C$36:$C$40)</f>
        <v>2</v>
      </c>
      <c r="E22" s="21">
        <f>E10</f>
        <v>0</v>
      </c>
      <c r="F22" s="22" t="str">
        <f t="shared" si="0"/>
        <v>增加储能充电</v>
      </c>
      <c r="G22" s="23" t="str">
        <f t="shared" si="1"/>
        <v>1020</v>
      </c>
      <c r="H22" s="24" t="s">
        <v>52</v>
      </c>
      <c r="I22" s="4"/>
      <c r="J22" s="4"/>
      <c r="L22" s="4"/>
      <c r="M22" s="4"/>
      <c r="N22" s="4"/>
      <c r="P22" s="4"/>
      <c r="Q22" s="4"/>
      <c r="R22" s="4"/>
      <c r="T22" s="4"/>
      <c r="U22" s="4"/>
      <c r="V22" s="4"/>
    </row>
    <row r="23" s="4" customFormat="1" spans="1:22">
      <c r="A23" s="25" t="s">
        <v>47</v>
      </c>
      <c r="B23" s="26">
        <v>1</v>
      </c>
      <c r="C23" s="26">
        <v>0</v>
      </c>
      <c r="D23" s="21">
        <f>_xlfn.XLOOKUP(D11,$A$36:$A$40,$C$36:$C$40)</f>
        <v>3</v>
      </c>
      <c r="E23" s="26">
        <v>0</v>
      </c>
      <c r="F23" s="22" t="str">
        <f t="shared" si="0"/>
        <v>增加储能充电</v>
      </c>
      <c r="G23" s="23" t="str">
        <f t="shared" si="1"/>
        <v>1030</v>
      </c>
      <c r="H23" s="24" t="s">
        <v>52</v>
      </c>
    </row>
    <row r="27" spans="1:22">
      <c r="A27" s="27" t="s">
        <v>53</v>
      </c>
      <c r="B27" s="28"/>
      <c r="C27" s="28"/>
    </row>
    <row r="28" spans="1:22">
      <c r="A28" s="10" t="s">
        <v>27</v>
      </c>
      <c r="B28" s="29" t="s">
        <v>54</v>
      </c>
      <c r="C28" s="30">
        <v>0</v>
      </c>
    </row>
    <row r="29" spans="1:22">
      <c r="A29" s="10" t="s">
        <v>36</v>
      </c>
      <c r="B29" s="27" t="s">
        <v>55</v>
      </c>
      <c r="C29" s="28">
        <v>1</v>
      </c>
    </row>
    <row r="31" spans="1:22">
      <c r="A31" s="27" t="s">
        <v>56</v>
      </c>
      <c r="B31" s="28"/>
      <c r="C31" s="28"/>
    </row>
    <row r="32" spans="1:22">
      <c r="A32" s="29" t="s">
        <v>37</v>
      </c>
      <c r="B32" s="29" t="s">
        <v>57</v>
      </c>
      <c r="C32" s="30">
        <v>1</v>
      </c>
    </row>
    <row r="33" spans="1:3">
      <c r="A33" s="27" t="s">
        <v>42</v>
      </c>
      <c r="B33" s="27" t="s">
        <v>58</v>
      </c>
      <c r="C33" s="28">
        <v>0</v>
      </c>
    </row>
    <row r="35" spans="1:3">
      <c r="A35" s="27" t="s">
        <v>59</v>
      </c>
      <c r="B35" s="28"/>
      <c r="C35" s="28"/>
    </row>
    <row r="36" spans="1:3">
      <c r="A36" s="30" t="s">
        <v>24</v>
      </c>
      <c r="B36" s="29" t="s">
        <v>60</v>
      </c>
      <c r="C36" s="30">
        <v>1</v>
      </c>
    </row>
    <row r="37" spans="1:3">
      <c r="A37" s="28" t="s">
        <v>28</v>
      </c>
      <c r="B37" s="27" t="s">
        <v>61</v>
      </c>
      <c r="C37" s="28">
        <v>2</v>
      </c>
    </row>
    <row r="38" spans="1:3">
      <c r="A38" s="27" t="s">
        <v>31</v>
      </c>
      <c r="B38" s="27" t="s">
        <v>62</v>
      </c>
      <c r="C38" s="28">
        <v>3</v>
      </c>
    </row>
    <row r="39" spans="1:3">
      <c r="A39" s="28" t="s">
        <v>34</v>
      </c>
      <c r="B39" s="27" t="s">
        <v>63</v>
      </c>
      <c r="C39" s="28">
        <v>4</v>
      </c>
    </row>
    <row r="40" spans="1:3">
      <c r="A40" s="27" t="s">
        <v>23</v>
      </c>
      <c r="B40" s="27" t="s">
        <v>64</v>
      </c>
      <c r="C40" s="27" t="s">
        <v>23</v>
      </c>
    </row>
    <row r="41" spans="1:3">
      <c r="A41" s="5"/>
      <c r="B41" s="5"/>
      <c r="C41" s="5"/>
    </row>
    <row r="42" spans="1:3">
      <c r="A42" s="27" t="s">
        <v>65</v>
      </c>
      <c r="B42" s="28"/>
      <c r="C42" s="28"/>
    </row>
    <row r="43" spans="1:3">
      <c r="A43" s="29" t="s">
        <v>28</v>
      </c>
      <c r="B43" s="29" t="s">
        <v>66</v>
      </c>
      <c r="C43" s="30">
        <v>0</v>
      </c>
    </row>
    <row r="44" spans="1:3">
      <c r="A44" s="27" t="s">
        <v>34</v>
      </c>
      <c r="B44" s="27" t="s">
        <v>67</v>
      </c>
      <c r="C44" s="28">
        <v>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488088206575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WWO_wpscloud_20260121170420-4af9624cc4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充电逻辑</vt:lpstr>
      <vt:lpstr>思路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睿</cp:lastModifiedBy>
  <dcterms:created xsi:type="dcterms:W3CDTF">2023-05-16T03:15:00Z</dcterms:created>
  <dcterms:modified xsi:type="dcterms:W3CDTF">2026-01-24T19:02:00Z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2052-12.9.0.25189</vt:lpwstr>
  </property>
  <property fmtid="{D5CDD505-2E9C-101B-9397-08002B2CF9AE}" pid="3" name="ICV">
    <vt:lpwstr>BE7A25DD95044D8DB37D42D76F221987_12</vt:lpwstr>
  </property>
  <property fmtid="{D5CDD505-2E9C-101B-9397-08002B2CF9AE}" pid="4" name="CalculationRule">
    <vt:i4>0</vt:i4>
  </property>
</Properties>
</file>